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William Lee\OneDrive - INT, SOCIEDAD ANONIMA\Desktop\작지서\Lane Bryant\F#256T228-01\"/>
    </mc:Choice>
  </mc:AlternateContent>
  <xr:revisionPtr revIDLastSave="0" documentId="13_ncr:1_{89665BE6-8A66-443D-9099-291F7ECB5B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2.16" sheetId="17" r:id="rId1"/>
  </sheets>
  <externalReferences>
    <externalReference r:id="rId2"/>
    <externalReference r:id="rId3"/>
  </externalReferences>
  <definedNames>
    <definedName name="_HIG1">#REF!</definedName>
    <definedName name="_HIG2">#REF!</definedName>
    <definedName name="_HIG3">#REF!</definedName>
    <definedName name="_HIG4">#REF!</definedName>
    <definedName name="_HIG5">#REF!</definedName>
    <definedName name="_LO1">#REF!</definedName>
    <definedName name="_LO2">#REF!</definedName>
    <definedName name="_LO3">#REF!</definedName>
    <definedName name="_LO4">#REF!</definedName>
    <definedName name="_LO5">#REF!</definedName>
    <definedName name="_NO1">#REF!</definedName>
    <definedName name="_NO2">#REF!</definedName>
    <definedName name="_NO3">#REF!</definedName>
    <definedName name="_NO4">#REF!</definedName>
    <definedName name="_NO5">#REF!</definedName>
    <definedName name="_SA1" localSheetId="0">#REF!</definedName>
    <definedName name="_SA1">#REF!</definedName>
    <definedName name="_SA2" localSheetId="0">#REF!</definedName>
    <definedName name="_SA2">#REF!</definedName>
    <definedName name="_SA3" localSheetId="0">#REF!</definedName>
    <definedName name="_SA3">#REF!</definedName>
    <definedName name="_SA4" localSheetId="0">#REF!</definedName>
    <definedName name="_SA4">#REF!</definedName>
    <definedName name="_SA5" localSheetId="0">#REF!</definedName>
    <definedName name="_SA5">#REF!</definedName>
    <definedName name="A" localSheetId="0">#REF!</definedName>
    <definedName name="A">#REF!</definedName>
    <definedName name="cn">#REF!</definedName>
    <definedName name="CT" localSheetId="0">'[1]9COLOR 부속 '!#REF!</definedName>
    <definedName name="CT">'[1]9COLOR 부속 '!#REF!</definedName>
    <definedName name="CTI" localSheetId="0">'[1]9COLOR 부속 '!#REF!</definedName>
    <definedName name="CTI">'[1]9COLOR 부속 '!#REF!</definedName>
    <definedName name="CTII" localSheetId="0">'[1]9COLOR 부속 '!#REF!</definedName>
    <definedName name="CTII">'[1]9COLOR 부속 '!#REF!</definedName>
    <definedName name="CTIII" localSheetId="0">'[1]9COLOR 부속 '!#REF!</definedName>
    <definedName name="CTIII">'[1]9COLOR 부속 '!#REF!</definedName>
    <definedName name="I">#REF!</definedName>
    <definedName name="II">#REF!</definedName>
    <definedName name="III">#REF!</definedName>
    <definedName name="IIII">#REF!</definedName>
    <definedName name="IIIII">#REF!</definedName>
    <definedName name="IIIIII">#REF!</definedName>
    <definedName name="IIIIIII">#REF!</definedName>
    <definedName name="IIIIIIII">#REF!</definedName>
    <definedName name="IIIIIIIII">#REF!</definedName>
    <definedName name="IV">#REF!</definedName>
    <definedName name="k">#REF!</definedName>
    <definedName name="lo">[2]소요량!$L$4</definedName>
    <definedName name="n">#REF!</definedName>
    <definedName name="PC">#REF!</definedName>
    <definedName name="_xlnm.Print_Area" localSheetId="0">'12.16'!$B$1:$X$100</definedName>
    <definedName name="RS">#REF!</definedName>
    <definedName name="SI">#REF!</definedName>
    <definedName name="SII">#REF!</definedName>
    <definedName name="SIII">#REF!</definedName>
    <definedName name="SIIII">#REF!</definedName>
    <definedName name="SIIIII">#REF!</definedName>
    <definedName name="SIIIIII">#REF!</definedName>
    <definedName name="SIIIIIII">#REF!</definedName>
    <definedName name="SIIIIIIIII">#REF!</definedName>
    <definedName name="TI">#REF!</definedName>
    <definedName name="TII">#REF!</definedName>
    <definedName name="TIII">#REF!</definedName>
    <definedName name="TIIII">#REF!</definedName>
    <definedName name="TIIIII">#REF!</definedName>
    <definedName name="TIIIIII">#REF!</definedName>
    <definedName name="TIIIIIII">#REF!</definedName>
    <definedName name="TIIIIIIII">#REF!</definedName>
    <definedName name="TT" localSheetId="0">'[1]9COLOR 부속 '!#REF!</definedName>
    <definedName name="TT">'[1]9COLOR 부속 '!#REF!</definedName>
    <definedName name="TTI" localSheetId="0">'[1]9COLOR 부속 '!#REF!</definedName>
    <definedName name="TTI">'[1]9COLOR 부속 '!#REF!</definedName>
    <definedName name="TTII" localSheetId="0">'[1]9COLOR 부속 '!#REF!</definedName>
    <definedName name="TTII">'[1]9COLOR 부속 '!#REF!</definedName>
    <definedName name="TTIII" localSheetId="0">'[1]9COLOR 부속 '!#REF!</definedName>
    <definedName name="TTIII">'[1]9COLOR 부속 '!#REF!</definedName>
    <definedName name="TT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" i="17" l="1"/>
  <c r="R29" i="17"/>
  <c r="R28" i="17"/>
  <c r="R27" i="17"/>
  <c r="R26" i="17"/>
  <c r="R25" i="17"/>
  <c r="R20" i="17"/>
  <c r="R19" i="17"/>
  <c r="R18" i="17"/>
  <c r="R17" i="17"/>
  <c r="R24" i="17"/>
  <c r="R23" i="17"/>
  <c r="R22" i="17"/>
  <c r="R21" i="17"/>
  <c r="I13" i="17"/>
  <c r="R16" i="17"/>
  <c r="R15" i="17"/>
  <c r="R14" i="17"/>
  <c r="Q31" i="17"/>
  <c r="P31" i="17"/>
  <c r="O31" i="17"/>
  <c r="N31" i="17"/>
  <c r="M31" i="17"/>
  <c r="L31" i="17"/>
  <c r="K31" i="17"/>
  <c r="J31" i="17"/>
  <c r="R13" i="17"/>
  <c r="R31" i="17" l="1"/>
  <c r="G8" i="17" s="1"/>
  <c r="S31" i="17" l="1"/>
  <c r="T31" i="17" s="1"/>
  <c r="B13" i="17"/>
  <c r="V94" i="17" l="1"/>
  <c r="V92" i="17"/>
  <c r="D13" i="17"/>
  <c r="K2" i="17"/>
</calcChain>
</file>

<file path=xl/sharedStrings.xml><?xml version="1.0" encoding="utf-8"?>
<sst xmlns="http://schemas.openxmlformats.org/spreadsheetml/2006/main" count="195" uniqueCount="175">
  <si>
    <t>2. DESCRIPCION DE TELA</t>
    <phoneticPr fontId="3" type="noConversion"/>
  </si>
  <si>
    <t>1. HILAZA</t>
    <phoneticPr fontId="4" type="noConversion"/>
  </si>
  <si>
    <t>1.</t>
  </si>
  <si>
    <t>FILE NO.</t>
  </si>
  <si>
    <t>DELIVERY</t>
  </si>
  <si>
    <t>TOTAL</t>
  </si>
  <si>
    <t>DETALLE</t>
    <phoneticPr fontId="3" type="noConversion"/>
  </si>
  <si>
    <t>FECHA :</t>
    <phoneticPr fontId="4" type="noConversion"/>
  </si>
  <si>
    <t>17Nivel, Torre Luna, Edificio Tikal Futura, Calsada Roosevelt 22-43</t>
  </si>
  <si>
    <t xml:space="preserve"> Zona 11, Guatemala C.A.                 Tel)2440-3501, Fax)2440-3524</t>
  </si>
  <si>
    <t>STYLE#</t>
  </si>
  <si>
    <t>FILE#</t>
  </si>
  <si>
    <t xml:space="preserve"> 5. MEASUREMENT SPECIFICATION</t>
  </si>
  <si>
    <t>PESO</t>
  </si>
  <si>
    <t>CANTIDAD</t>
  </si>
  <si>
    <t>ESTILO #</t>
  </si>
  <si>
    <t>CLIENTE</t>
  </si>
  <si>
    <t xml:space="preserve">          3. CANTIDAD DE ORDEN</t>
  </si>
  <si>
    <t>4. CONSUMO</t>
  </si>
  <si>
    <t>LADIES</t>
  </si>
  <si>
    <t>FABRIC COLOR</t>
  </si>
  <si>
    <t>14/16</t>
  </si>
  <si>
    <t>18/20</t>
  </si>
  <si>
    <t>22/24</t>
  </si>
  <si>
    <t>26/28</t>
  </si>
  <si>
    <t>DESCRIPCION</t>
  </si>
  <si>
    <t>TOL</t>
  </si>
  <si>
    <t>A. DEJAR LA TELA RELAJADO SUFICIENTE TIEMPO ANTES DE CORTAR. 재단전에 원단 충분히 RELAX 시켜 놓으시길 바랍니다.</t>
  </si>
  <si>
    <t>B. HAY QUE LLEGAR A UN ACUERDO DEL CONSUMO CON INT ANTES DE CORTAR. 재단전에 INT 와 요척 협의 부탁드립니다.</t>
  </si>
  <si>
    <t>C. CORTAR LOTES QUE ESTAN APROBADOS POR CLIENTE. CONFIRM 받은 LOT 만 재단 부탁드립니다.</t>
  </si>
  <si>
    <t>D. REVISAR BIEN LA TELA ANTES DE CORTAR. 재단전 원단 상태 확인 부탁드립니다.</t>
  </si>
  <si>
    <t>CORTE  -  재단</t>
  </si>
  <si>
    <t>COSTURA  -  봉제</t>
  </si>
  <si>
    <t>PROCESO</t>
  </si>
  <si>
    <t>EMPAQUE</t>
  </si>
  <si>
    <t>VENDOR</t>
  </si>
  <si>
    <t>FABRICA</t>
  </si>
  <si>
    <t>FABRIC CONTENT</t>
  </si>
  <si>
    <t>NO#</t>
    <phoneticPr fontId="4" type="noConversion"/>
  </si>
  <si>
    <t>PROCESO / 공정</t>
    <phoneticPr fontId="4" type="noConversion"/>
  </si>
  <si>
    <t>SALIDA A: / 출고처</t>
    <phoneticPr fontId="4" type="noConversion"/>
  </si>
  <si>
    <t>COMENTARIO / 비고</t>
    <phoneticPr fontId="4" type="noConversion"/>
  </si>
  <si>
    <t>CORTE / 재단</t>
    <phoneticPr fontId="4" type="noConversion"/>
  </si>
  <si>
    <t>STONE</t>
    <phoneticPr fontId="4" type="noConversion"/>
  </si>
  <si>
    <t>14/16</t>
    <phoneticPr fontId="4" type="noConversion"/>
  </si>
  <si>
    <t>18/20</t>
    <phoneticPr fontId="4" type="noConversion"/>
  </si>
  <si>
    <t>22/24</t>
    <phoneticPr fontId="4" type="noConversion"/>
  </si>
  <si>
    <t>26/28</t>
    <phoneticPr fontId="4" type="noConversion"/>
  </si>
  <si>
    <t>MUESTRAS</t>
    <phoneticPr fontId="4" type="noConversion"/>
  </si>
  <si>
    <t>TIPO DE MUESTRA</t>
    <phoneticPr fontId="4" type="noConversion"/>
  </si>
  <si>
    <t>10/12</t>
    <phoneticPr fontId="4" type="noConversion"/>
  </si>
  <si>
    <t>TTL</t>
    <phoneticPr fontId="4" type="noConversion"/>
  </si>
  <si>
    <t>PATRON</t>
    <phoneticPr fontId="4" type="noConversion"/>
  </si>
  <si>
    <t>TIPO DE ORDEN</t>
    <phoneticPr fontId="4" type="noConversion"/>
  </si>
  <si>
    <t>PO#</t>
    <phoneticPr fontId="4" type="noConversion"/>
  </si>
  <si>
    <t>DELIVERY</t>
    <phoneticPr fontId="4" type="noConversion"/>
  </si>
  <si>
    <t>CM:</t>
    <phoneticPr fontId="4" type="noConversion"/>
  </si>
  <si>
    <t>2. TELA</t>
    <phoneticPr fontId="4" type="noConversion"/>
  </si>
  <si>
    <t>3. ANCHO DE TELA</t>
    <phoneticPr fontId="4" type="noConversion"/>
  </si>
  <si>
    <t>5. Description</t>
    <phoneticPr fontId="4" type="noConversion"/>
  </si>
  <si>
    <t>LANE BRYANT</t>
    <phoneticPr fontId="4" type="noConversion"/>
  </si>
  <si>
    <t>결 재</t>
  </si>
  <si>
    <t>N/A</t>
  </si>
  <si>
    <t>SE LE DARA TRIM CARD SEPARADO CON PACKING E INSTRUCCION DE EMPAQUE 
(별도 TRIM CARD 및 완성 DETAIL 전달 예정)</t>
  </si>
  <si>
    <t>TESTING</t>
  </si>
  <si>
    <t>4. PESO</t>
  </si>
  <si>
    <t>EMPAQUE / 완성</t>
  </si>
  <si>
    <t>CONFECCION / 봉제</t>
  </si>
  <si>
    <t>LAVANDERIA</t>
  </si>
  <si>
    <t>팀장</t>
  </si>
  <si>
    <t>부서장</t>
  </si>
  <si>
    <t>담당</t>
  </si>
  <si>
    <t>SERIGRAFIA</t>
  </si>
  <si>
    <t>A. TODAS LAS COSTURAS INTERIORES DEBEN SER 2NOS (ISO 514, SPI 12-14)</t>
  </si>
  <si>
    <t>TEESHOP</t>
  </si>
  <si>
    <t>NORMAL LENGTHS MEASUREMENTS</t>
  </si>
  <si>
    <t>PO</t>
    <phoneticPr fontId="4" type="noConversion"/>
  </si>
  <si>
    <t>30/32</t>
    <phoneticPr fontId="4" type="noConversion"/>
  </si>
  <si>
    <t>34/36</t>
    <phoneticPr fontId="4" type="noConversion"/>
  </si>
  <si>
    <t>38/40</t>
    <phoneticPr fontId="4" type="noConversion"/>
  </si>
  <si>
    <t>PLUS SIZE</t>
    <phoneticPr fontId="4" type="noConversion"/>
  </si>
  <si>
    <t>N/A</t>
    <phoneticPr fontId="4" type="noConversion"/>
  </si>
  <si>
    <t>ORANGE ETT</t>
    <phoneticPr fontId="4" type="noConversion"/>
  </si>
  <si>
    <t>LAVANDERIA / 워싱</t>
    <phoneticPr fontId="4" type="noConversion"/>
  </si>
  <si>
    <t>VARIOUS</t>
  </si>
  <si>
    <t>SIDE RUCHED TEE</t>
  </si>
  <si>
    <t>S09a</t>
  </si>
  <si>
    <t>S09b</t>
  </si>
  <si>
    <t>B12g</t>
  </si>
  <si>
    <t>B12a</t>
  </si>
  <si>
    <t>A09a</t>
  </si>
  <si>
    <t>A06f</t>
  </si>
  <si>
    <t>A06a</t>
  </si>
  <si>
    <t>A03f</t>
  </si>
  <si>
    <t>A03a</t>
  </si>
  <si>
    <t>B15a</t>
  </si>
  <si>
    <t>W09i</t>
  </si>
  <si>
    <t>W03b</t>
  </si>
  <si>
    <t>Custom</t>
  </si>
  <si>
    <t>A12h</t>
  </si>
  <si>
    <t>S18b</t>
  </si>
  <si>
    <t>S15a</t>
  </si>
  <si>
    <t>S15c</t>
  </si>
  <si>
    <t>S21b</t>
  </si>
  <si>
    <t>N09a</t>
  </si>
  <si>
    <t>N06d</t>
  </si>
  <si>
    <t>N06a</t>
  </si>
  <si>
    <t>OB01f</t>
  </si>
  <si>
    <t>Shoulder Seam Below HPS</t>
  </si>
  <si>
    <t>Shoulder Slope</t>
  </si>
  <si>
    <t>Body Length at Center Front from HPS</t>
  </si>
  <si>
    <t>Body Length at Center Back from HPS</t>
  </si>
  <si>
    <t>Across Shoulder - Set in Sleeve</t>
  </si>
  <si>
    <t>Across Front Placement below HPS</t>
  </si>
  <si>
    <t>Across Front - Set in Sleeve</t>
  </si>
  <si>
    <t>Across Back Placement below HPS</t>
  </si>
  <si>
    <t>Across Back - Set in Sleeve</t>
  </si>
  <si>
    <t>Bust 1" Below Armhole - Flat</t>
  </si>
  <si>
    <t>Waist Placement - Front From HPS</t>
  </si>
  <si>
    <t>Waist Straight CF to CB</t>
  </si>
  <si>
    <t>Shirring height at side seam (1.65:1 ratio)</t>
  </si>
  <si>
    <t>ARMHOLE/SLEEVE</t>
  </si>
  <si>
    <t>Armhole Depth</t>
  </si>
  <si>
    <t>Sleeve Length from CB - Short</t>
  </si>
  <si>
    <t>Sleeve Cap Height</t>
  </si>
  <si>
    <t>Sleeve Cap Width - Seam to Center Fold 4" down from Top of Sleeve</t>
  </si>
  <si>
    <t>Sleeve Opening - Short</t>
  </si>
  <si>
    <t>VEE NECK</t>
  </si>
  <si>
    <t>Neck Width- Edge</t>
  </si>
  <si>
    <t>Neck drop at front- HPS to edge</t>
  </si>
  <si>
    <t>Neck Drop at Back - HPS to Edge</t>
  </si>
  <si>
    <t>On Body Measurements (Base Size Only) - Body Length Front or Shortest Point</t>
  </si>
  <si>
    <t>Neck Width at CB Edge to Edge ON BODY</t>
  </si>
  <si>
    <t>Front Neck Drop from HPS ON BODY</t>
  </si>
  <si>
    <t>Sleeve Length from CB Neck ON BODY</t>
  </si>
  <si>
    <t>C. EL CUELLO DEBE SER 5/8" SELF NECK BINDING CON 2NTS A 1/8" DE SEPARACION DE HILO EN FORMA DE V.</t>
  </si>
  <si>
    <t>D. LOS RUEDOS DE MANGA Y FONDO DEBEN SER 5/8" SELF TURNBACK CON 2NCHS (406) A 1/8" SEPARACION DE HILO.</t>
  </si>
  <si>
    <t>WASHING</t>
  </si>
  <si>
    <t>대리</t>
  </si>
  <si>
    <t>APPAREL LINKS,S.A.</t>
  </si>
  <si>
    <t>WASHING TYPE</t>
    <phoneticPr fontId="4" type="noConversion"/>
  </si>
  <si>
    <t>TOP (POR COLOR)</t>
    <phoneticPr fontId="4" type="noConversion"/>
  </si>
  <si>
    <t>TRIMS DE COSTURA - 부자재</t>
    <phoneticPr fontId="4" type="noConversion"/>
  </si>
  <si>
    <t>B. POR FAVOR INSERTAR MOBILON DE 1/4" EN LAS COSTURAS DE LOS HOMBROS. (SOLO PARA SOLIDO / LAVADO NO LLEVA MOBILON)</t>
    <phoneticPr fontId="4" type="noConversion"/>
  </si>
  <si>
    <t>DIP DYE</t>
  </si>
  <si>
    <t>LUNAR</t>
  </si>
  <si>
    <t>E. EN LOS COSTADOS LLEVA UN ELASTICO PARA FORMAR EL SHIRRING.</t>
  </si>
  <si>
    <t>256T228-01</t>
  </si>
  <si>
    <t>CM30/1 SLUB + CM 30/1 SINGLE</t>
  </si>
  <si>
    <t>JERSEY</t>
  </si>
  <si>
    <t>CM 30/1 SLUB
+ 
CM 30/1 SINGLE
1:1 JERSEY</t>
  </si>
  <si>
    <t>ASCENA BLACK</t>
  </si>
  <si>
    <t>PIGMENT</t>
  </si>
  <si>
    <t>CLEARWATER + GALAPAGOS GREEN</t>
  </si>
  <si>
    <t>LIVI CORAL +RASPBERRY ROSE</t>
  </si>
  <si>
    <t>VIVID VIOLA + VIVACIOUS</t>
  </si>
  <si>
    <t>CRYSTAL WASH</t>
  </si>
  <si>
    <t>TIE DYE</t>
  </si>
  <si>
    <t>BODY</t>
  </si>
  <si>
    <t>S33b</t>
  </si>
  <si>
    <t>Sweep Straight</t>
  </si>
  <si>
    <t>***ON BODY MEASUREMENTS FOR SAMPLE
SIZE***</t>
  </si>
  <si>
    <t>USAR EL PATRON S#1150401</t>
  </si>
  <si>
    <t>62"/65"</t>
  </si>
  <si>
    <t>PFD (CRYSTAL BLUE + MARITIME BLUE + WHITE)</t>
  </si>
  <si>
    <t>PFD (HOLLY BERRY)</t>
  </si>
  <si>
    <t>PFD (ELM GREEN)</t>
  </si>
  <si>
    <t>PFD (BEAUCOP BLUE)</t>
  </si>
  <si>
    <t>PFD (BRANDIED APRICOT)</t>
  </si>
  <si>
    <t>요척 (YIELD) / COMMENT</t>
  </si>
  <si>
    <t>SOLID / FABRIC PRINT : 15.51 YD/DZ (3%)
WASHING : 15.67 YD/DZ (8%)
-DE LOS COLORES PFD, FAVOR DE CORTAR SECCIONADO PARA LOS COLORES BEAUCOP BLUE Y ELM GREEN.
LOS DE MAS COLORES EN RANDOM NORMAL
-SOLIDO ES UNICAMENTE COLORE ASCENA BLACK
-LOS DE MAS TELAS DE COLORES SON PARA LAVADO (DIP DYE O CRYSTAL WASH)
-FAVOR DE COLOCAR DIFERENTE AREA DE TEARAWAY CADA COLOR DE PFD (EJEMPLO: UN COLOR EN HOMBRO IZQUIERDO, OTRO EN COSTADO IZQUIERDO, ETC)</t>
  </si>
  <si>
    <t>ESCRITO POR: WILLIAM LEE</t>
  </si>
  <si>
    <t>LANE BRYANT F#256T228-01 ORDEN DE TRABAJO (봉제작업의뢰서)</t>
  </si>
  <si>
    <t>MODAS WIZ, S.A</t>
  </si>
  <si>
    <t>MODAS WIZ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</si>
</sst>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\$#,##0.00_);[Red]\(\$#,##0.00\)"/>
    <numFmt numFmtId="168" formatCode="#,##0&quot; gr/m2&quot;"/>
    <numFmt numFmtId="169" formatCode="#,###\ \ &quot;pcs&quot;"/>
    <numFmt numFmtId="170" formatCode="m&quot;/&quot;d;@"/>
    <numFmt numFmtId="171" formatCode="m&quot;월&quot;\ d&quot;일&quot;;@"/>
    <numFmt numFmtId="172" formatCode="[$-409]d&quot;-&quot;mmm&quot;-&quot;yy;@"/>
    <numFmt numFmtId="173" formatCode="#,##0;\-#,##0;&quot;-&quot;"/>
    <numFmt numFmtId="174" formatCode="&quot;$&quot;#,##0\ ;\(&quot;$&quot;#,##0\)"/>
    <numFmt numFmtId="175" formatCode="_-[$$-409]* #,##0.00_ ;_-[$$-409]* \-#,##0.00\ ;_-[$$-409]* &quot;-&quot;??_ ;_-@_ "/>
  </numFmts>
  <fonts count="5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바탕"/>
      <family val="1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b/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name val="맑은 고딕"/>
      <family val="3"/>
      <charset val="129"/>
    </font>
    <font>
      <sz val="16"/>
      <name val="맑은 고딕"/>
      <family val="3"/>
      <charset val="129"/>
    </font>
    <font>
      <b/>
      <sz val="20"/>
      <name val="맑은 고딕"/>
      <family val="3"/>
      <charset val="129"/>
    </font>
    <font>
      <u/>
      <sz val="11"/>
      <color theme="10"/>
      <name val="돋움"/>
      <family val="3"/>
      <charset val="129"/>
    </font>
    <font>
      <u/>
      <sz val="11"/>
      <color theme="11"/>
      <name val="돋움"/>
      <family val="3"/>
      <charset val="129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Times New Roma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  <font>
      <sz val="14"/>
      <name val="맑은 고딕"/>
      <family val="3"/>
      <charset val="129"/>
    </font>
    <font>
      <sz val="14"/>
      <name val="돋움"/>
      <family val="3"/>
      <charset val="129"/>
    </font>
    <font>
      <sz val="18"/>
      <name val="Arial"/>
      <family val="2"/>
    </font>
    <font>
      <b/>
      <sz val="18"/>
      <name val="Arial"/>
      <family val="2"/>
    </font>
    <font>
      <b/>
      <sz val="18"/>
      <name val="돋움"/>
      <family val="3"/>
      <charset val="129"/>
    </font>
    <font>
      <sz val="18"/>
      <name val="돋움"/>
      <family val="3"/>
      <charset val="129"/>
    </font>
    <font>
      <b/>
      <sz val="18"/>
      <color theme="1"/>
      <name val="맑은 고딕"/>
      <family val="3"/>
      <charset val="129"/>
    </font>
    <font>
      <b/>
      <sz val="22"/>
      <name val="맑은 고딕"/>
      <family val="3"/>
      <charset val="129"/>
    </font>
    <font>
      <sz val="24"/>
      <name val="맑은 고딕"/>
      <family val="3"/>
      <charset val="129"/>
    </font>
    <font>
      <b/>
      <u/>
      <sz val="16"/>
      <name val="맑은 고딕"/>
      <family val="3"/>
      <charset val="129"/>
    </font>
    <font>
      <sz val="12"/>
      <name val="Arial"/>
      <family val="2"/>
    </font>
    <font>
      <b/>
      <sz val="20"/>
      <name val="Century Gothic"/>
      <family val="2"/>
    </font>
    <font>
      <b/>
      <sz val="48"/>
      <name val="맑은 고딕"/>
      <family val="3"/>
      <charset val="129"/>
    </font>
    <font>
      <b/>
      <sz val="18"/>
      <color theme="1"/>
      <name val="Cambria"/>
      <family val="3"/>
      <charset val="129"/>
      <scheme val="major"/>
    </font>
    <font>
      <b/>
      <sz val="23"/>
      <name val="맑은 고딕"/>
      <family val="3"/>
      <charset val="129"/>
    </font>
    <font>
      <b/>
      <sz val="15"/>
      <name val="맑은 고딕"/>
      <family val="3"/>
      <charset val="129"/>
    </font>
    <font>
      <b/>
      <sz val="3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8"/>
      <color theme="1"/>
      <name val="Cambria"/>
      <family val="1"/>
      <scheme val="major"/>
    </font>
    <font>
      <b/>
      <sz val="18"/>
      <name val="맑은 고딕"/>
      <family val="3"/>
      <charset val="129"/>
    </font>
    <font>
      <b/>
      <sz val="18"/>
      <color rgb="FF000000"/>
      <name val="맑은 고딕"/>
      <family val="2"/>
    </font>
    <font>
      <b/>
      <sz val="18"/>
      <name val="맑은 고딕"/>
      <family val="2"/>
    </font>
    <font>
      <b/>
      <sz val="18"/>
      <color rgb="FF000000"/>
      <name val="맑은 고딕"/>
      <family val="3"/>
      <charset val="129"/>
    </font>
    <font>
      <b/>
      <sz val="18"/>
      <color theme="1"/>
      <name val="맑은 고딕"/>
      <family val="2"/>
    </font>
    <font>
      <sz val="16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darkVertical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</borders>
  <cellStyleXfs count="13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" fillId="0" borderId="0">
      <alignment vertical="center"/>
    </xf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/>
    <xf numFmtId="0" fontId="19" fillId="0" borderId="0">
      <alignment horizontal="center" wrapText="1"/>
      <protection locked="0"/>
    </xf>
    <xf numFmtId="173" fontId="18" fillId="0" borderId="0" applyFill="0" applyBorder="0" applyAlignment="0"/>
    <xf numFmtId="4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20" fillId="0" borderId="0" applyNumberFormat="0" applyAlignment="0">
      <alignment horizontal="left"/>
    </xf>
    <xf numFmtId="16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1" fillId="0" borderId="0" applyNumberFormat="0" applyAlignment="0">
      <alignment horizontal="left"/>
    </xf>
    <xf numFmtId="2" fontId="2" fillId="0" borderId="0" applyFont="0" applyFill="0" applyBorder="0" applyAlignment="0" applyProtection="0"/>
    <xf numFmtId="0" fontId="5" fillId="0" borderId="19" applyNumberFormat="0" applyAlignment="0" applyProtection="0">
      <alignment horizontal="left" vertical="center"/>
    </xf>
    <xf numFmtId="0" fontId="5" fillId="0" borderId="47">
      <alignment horizontal="left" vertical="center"/>
    </xf>
    <xf numFmtId="0" fontId="22" fillId="0" borderId="5">
      <alignment horizontal="center"/>
    </xf>
    <xf numFmtId="0" fontId="22" fillId="0" borderId="0">
      <alignment horizontal="center"/>
    </xf>
    <xf numFmtId="0" fontId="2" fillId="0" borderId="0"/>
    <xf numFmtId="0" fontId="2" fillId="0" borderId="0"/>
    <xf numFmtId="14" fontId="19" fillId="0" borderId="0">
      <alignment horizontal="center" wrapText="1"/>
      <protection locked="0"/>
    </xf>
    <xf numFmtId="9" fontId="2" fillId="0" borderId="0" applyFont="0" applyFill="0" applyBorder="0" applyAlignment="0" applyProtection="0"/>
    <xf numFmtId="0" fontId="23" fillId="6" borderId="0" applyNumberFormat="0" applyFont="0" applyBorder="0" applyAlignment="0">
      <alignment horizontal="center"/>
    </xf>
    <xf numFmtId="14" fontId="24" fillId="0" borderId="0" applyNumberFormat="0" applyFill="0" applyBorder="0" applyAlignment="0" applyProtection="0">
      <alignment horizontal="left"/>
    </xf>
    <xf numFmtId="0" fontId="23" fillId="1" borderId="47" applyNumberFormat="0" applyFont="0" applyAlignment="0">
      <alignment horizontal="center"/>
    </xf>
    <xf numFmtId="0" fontId="25" fillId="0" borderId="0" applyNumberFormat="0" applyFill="0" applyBorder="0" applyAlignment="0">
      <alignment horizontal="center"/>
    </xf>
    <xf numFmtId="40" fontId="26" fillId="0" borderId="0" applyBorder="0">
      <alignment horizontal="right"/>
    </xf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</cellStyleXfs>
  <cellXfs count="413">
    <xf numFmtId="0" fontId="0" fillId="0" borderId="0" xfId="0">
      <alignment vertical="center"/>
    </xf>
    <xf numFmtId="0" fontId="7" fillId="0" borderId="0" xfId="6" applyFont="1" applyAlignment="1">
      <alignment horizontal="center" vertical="center"/>
    </xf>
    <xf numFmtId="0" fontId="7" fillId="0" borderId="0" xfId="6" applyFont="1" applyAlignment="1">
      <alignment vertical="center"/>
    </xf>
    <xf numFmtId="0" fontId="11" fillId="0" borderId="0" xfId="6" applyFont="1" applyAlignment="1">
      <alignment vertical="center"/>
    </xf>
    <xf numFmtId="0" fontId="12" fillId="0" borderId="5" xfId="6" applyFont="1" applyBorder="1" applyAlignment="1">
      <alignment horizontal="left" vertical="center"/>
    </xf>
    <xf numFmtId="0" fontId="31" fillId="2" borderId="2" xfId="6" applyFont="1" applyFill="1" applyBorder="1" applyAlignment="1">
      <alignment horizontal="center" vertical="center"/>
    </xf>
    <xf numFmtId="0" fontId="12" fillId="0" borderId="3" xfId="6" applyFont="1" applyBorder="1" applyAlignment="1">
      <alignment horizontal="left" vertical="center"/>
    </xf>
    <xf numFmtId="0" fontId="12" fillId="0" borderId="7" xfId="6" applyFont="1" applyBorder="1" applyAlignment="1">
      <alignment horizontal="left" vertical="center"/>
    </xf>
    <xf numFmtId="0" fontId="12" fillId="0" borderId="2" xfId="6" applyFont="1" applyBorder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30" fillId="0" borderId="4" xfId="6" applyFont="1" applyBorder="1" applyAlignment="1">
      <alignment horizontal="left" vertical="center"/>
    </xf>
    <xf numFmtId="0" fontId="12" fillId="0" borderId="51" xfId="0" applyFont="1" applyBorder="1" applyAlignment="1">
      <alignment horizontal="center" vertical="center" wrapText="1"/>
    </xf>
    <xf numFmtId="0" fontId="12" fillId="7" borderId="48" xfId="0" applyFont="1" applyFill="1" applyBorder="1" applyAlignment="1">
      <alignment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2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12" fillId="0" borderId="53" xfId="0" applyFont="1" applyBorder="1" applyAlignment="1">
      <alignment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/>
    </xf>
    <xf numFmtId="0" fontId="7" fillId="0" borderId="1" xfId="6" applyFont="1" applyBorder="1" applyAlignment="1">
      <alignment vertical="center"/>
    </xf>
    <xf numFmtId="0" fontId="7" fillId="0" borderId="2" xfId="6" applyFont="1" applyBorder="1" applyAlignment="1">
      <alignment vertical="center"/>
    </xf>
    <xf numFmtId="49" fontId="30" fillId="2" borderId="2" xfId="6" applyNumberFormat="1" applyFont="1" applyFill="1" applyBorder="1" applyAlignment="1">
      <alignment horizontal="center" vertical="center"/>
    </xf>
    <xf numFmtId="0" fontId="29" fillId="0" borderId="18" xfId="6" applyFont="1" applyBorder="1" applyAlignment="1">
      <alignment horizontal="left" vertical="center"/>
    </xf>
    <xf numFmtId="0" fontId="12" fillId="0" borderId="19" xfId="6" applyFont="1" applyBorder="1" applyAlignment="1">
      <alignment horizontal="center" vertical="center"/>
    </xf>
    <xf numFmtId="0" fontId="12" fillId="0" borderId="19" xfId="6" applyFont="1" applyBorder="1" applyAlignment="1">
      <alignment horizontal="left" vertical="center"/>
    </xf>
    <xf numFmtId="0" fontId="29" fillId="0" borderId="19" xfId="6" applyFont="1" applyBorder="1" applyAlignment="1">
      <alignment horizontal="left" vertical="center"/>
    </xf>
    <xf numFmtId="0" fontId="11" fillId="0" borderId="19" xfId="6" applyFont="1" applyBorder="1" applyAlignment="1">
      <alignment horizontal="left" vertical="center"/>
    </xf>
    <xf numFmtId="0" fontId="11" fillId="0" borderId="19" xfId="6" applyFont="1" applyBorder="1" applyAlignment="1">
      <alignment vertical="center"/>
    </xf>
    <xf numFmtId="0" fontId="12" fillId="0" borderId="19" xfId="6" applyFont="1" applyBorder="1" applyAlignment="1">
      <alignment horizontal="centerContinuous" vertical="center"/>
    </xf>
    <xf numFmtId="0" fontId="11" fillId="0" borderId="33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12" fontId="33" fillId="3" borderId="8" xfId="0" applyNumberFormat="1" applyFont="1" applyFill="1" applyBorder="1" applyAlignment="1">
      <alignment horizontal="center" vertical="center"/>
    </xf>
    <xf numFmtId="12" fontId="40" fillId="3" borderId="21" xfId="0" applyNumberFormat="1" applyFont="1" applyFill="1" applyBorder="1" applyAlignment="1">
      <alignment horizontal="center" vertical="center"/>
    </xf>
    <xf numFmtId="12" fontId="40" fillId="3" borderId="35" xfId="0" applyNumberFormat="1" applyFont="1" applyFill="1" applyBorder="1" applyAlignment="1">
      <alignment horizontal="center" vertical="center"/>
    </xf>
    <xf numFmtId="12" fontId="33" fillId="3" borderId="21" xfId="0" applyNumberFormat="1" applyFont="1" applyFill="1" applyBorder="1" applyAlignment="1">
      <alignment horizontal="center" vertical="center"/>
    </xf>
    <xf numFmtId="49" fontId="8" fillId="0" borderId="67" xfId="6" applyNumberFormat="1" applyFont="1" applyBorder="1" applyAlignment="1">
      <alignment horizontal="center" vertical="center"/>
    </xf>
    <xf numFmtId="0" fontId="11" fillId="3" borderId="20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8" fillId="0" borderId="8" xfId="6" applyFont="1" applyBorder="1" applyAlignment="1">
      <alignment vertical="center"/>
    </xf>
    <xf numFmtId="12" fontId="33" fillId="0" borderId="21" xfId="0" applyNumberFormat="1" applyFont="1" applyBorder="1" applyAlignment="1">
      <alignment horizontal="center" vertical="center"/>
    </xf>
    <xf numFmtId="12" fontId="40" fillId="0" borderId="35" xfId="0" applyNumberFormat="1" applyFont="1" applyBorder="1" applyAlignment="1">
      <alignment horizontal="center" vertical="center"/>
    </xf>
    <xf numFmtId="0" fontId="13" fillId="0" borderId="8" xfId="6" applyFont="1" applyBorder="1" applyAlignment="1">
      <alignment vertical="center"/>
    </xf>
    <xf numFmtId="0" fontId="11" fillId="3" borderId="2" xfId="6" applyFont="1" applyFill="1" applyBorder="1" applyAlignment="1">
      <alignment horizontal="left" vertical="top"/>
    </xf>
    <xf numFmtId="0" fontId="11" fillId="3" borderId="0" xfId="6" applyFont="1" applyFill="1" applyAlignment="1">
      <alignment vertical="center"/>
    </xf>
    <xf numFmtId="0" fontId="11" fillId="3" borderId="9" xfId="6" applyFont="1" applyFill="1" applyBorder="1" applyAlignment="1">
      <alignment vertical="center"/>
    </xf>
    <xf numFmtId="0" fontId="11" fillId="3" borderId="16" xfId="6" applyFont="1" applyFill="1" applyBorder="1" applyAlignment="1">
      <alignment vertical="center"/>
    </xf>
    <xf numFmtId="0" fontId="11" fillId="3" borderId="17" xfId="6" applyFont="1" applyFill="1" applyBorder="1" applyAlignment="1">
      <alignment vertical="center"/>
    </xf>
    <xf numFmtId="0" fontId="11" fillId="3" borderId="1" xfId="6" applyFont="1" applyFill="1" applyBorder="1" applyAlignment="1">
      <alignment vertical="center"/>
    </xf>
    <xf numFmtId="0" fontId="11" fillId="3" borderId="2" xfId="6" applyFont="1" applyFill="1" applyBorder="1" applyAlignment="1">
      <alignment vertical="top"/>
    </xf>
    <xf numFmtId="0" fontId="11" fillId="3" borderId="0" xfId="6" applyFont="1" applyFill="1" applyAlignment="1">
      <alignment vertical="top"/>
    </xf>
    <xf numFmtId="0" fontId="11" fillId="3" borderId="9" xfId="6" applyFont="1" applyFill="1" applyBorder="1" applyAlignment="1">
      <alignment vertical="top"/>
    </xf>
    <xf numFmtId="0" fontId="11" fillId="3" borderId="0" xfId="6" applyFont="1" applyFill="1" applyAlignment="1">
      <alignment horizontal="left" vertical="top"/>
    </xf>
    <xf numFmtId="0" fontId="11" fillId="3" borderId="9" xfId="6" applyFont="1" applyFill="1" applyBorder="1" applyAlignment="1">
      <alignment horizontal="left" vertical="top"/>
    </xf>
    <xf numFmtId="0" fontId="8" fillId="0" borderId="7" xfId="6" applyFont="1" applyBorder="1" applyAlignment="1">
      <alignment vertical="center"/>
    </xf>
    <xf numFmtId="0" fontId="8" fillId="0" borderId="20" xfId="6" applyFont="1" applyBorder="1" applyAlignment="1">
      <alignment vertical="center"/>
    </xf>
    <xf numFmtId="0" fontId="13" fillId="0" borderId="7" xfId="6" applyFont="1" applyBorder="1" applyAlignment="1">
      <alignment vertical="center"/>
    </xf>
    <xf numFmtId="0" fontId="8" fillId="0" borderId="67" xfId="6" applyFont="1" applyBorder="1" applyAlignment="1">
      <alignment horizontal="center" vertical="center"/>
    </xf>
    <xf numFmtId="0" fontId="13" fillId="0" borderId="2" xfId="6" applyFont="1" applyBorder="1" applyAlignment="1">
      <alignment vertical="center"/>
    </xf>
    <xf numFmtId="0" fontId="13" fillId="0" borderId="0" xfId="6" applyFont="1" applyAlignment="1">
      <alignment vertical="center"/>
    </xf>
    <xf numFmtId="0" fontId="13" fillId="0" borderId="9" xfId="6" applyFont="1" applyBorder="1" applyAlignment="1">
      <alignment vertical="center"/>
    </xf>
    <xf numFmtId="0" fontId="8" fillId="11" borderId="67" xfId="6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left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90" xfId="0" applyFont="1" applyFill="1" applyBorder="1" applyAlignment="1">
      <alignment horizontal="left" vertical="center"/>
    </xf>
    <xf numFmtId="0" fontId="8" fillId="0" borderId="23" xfId="6" applyFont="1" applyBorder="1" applyAlignment="1">
      <alignment vertical="center"/>
    </xf>
    <xf numFmtId="0" fontId="8" fillId="3" borderId="8" xfId="6" applyFont="1" applyFill="1" applyBorder="1" applyAlignment="1">
      <alignment vertical="center"/>
    </xf>
    <xf numFmtId="0" fontId="8" fillId="3" borderId="7" xfId="6" applyFont="1" applyFill="1" applyBorder="1" applyAlignment="1">
      <alignment vertical="center"/>
    </xf>
    <xf numFmtId="0" fontId="11" fillId="3" borderId="7" xfId="0" applyFont="1" applyFill="1" applyBorder="1">
      <alignment vertical="center"/>
    </xf>
    <xf numFmtId="12" fontId="33" fillId="3" borderId="22" xfId="0" applyNumberFormat="1" applyFont="1" applyFill="1" applyBorder="1" applyAlignment="1">
      <alignment horizontal="center" vertical="center"/>
    </xf>
    <xf numFmtId="12" fontId="33" fillId="3" borderId="35" xfId="0" applyNumberFormat="1" applyFont="1" applyFill="1" applyBorder="1" applyAlignment="1">
      <alignment horizontal="center" vertical="center" wrapText="1"/>
    </xf>
    <xf numFmtId="12" fontId="44" fillId="0" borderId="21" xfId="0" applyNumberFormat="1" applyFont="1" applyBorder="1" applyAlignment="1">
      <alignment horizontal="center" vertical="center"/>
    </xf>
    <xf numFmtId="12" fontId="45" fillId="0" borderId="21" xfId="0" applyNumberFormat="1" applyFont="1" applyBorder="1" applyAlignment="1">
      <alignment horizontal="center" vertical="center"/>
    </xf>
    <xf numFmtId="0" fontId="46" fillId="3" borderId="41" xfId="6" applyFont="1" applyFill="1" applyBorder="1" applyAlignment="1">
      <alignment vertical="center"/>
    </xf>
    <xf numFmtId="0" fontId="48" fillId="3" borderId="7" xfId="6" applyFont="1" applyFill="1" applyBorder="1" applyAlignment="1">
      <alignment vertical="center"/>
    </xf>
    <xf numFmtId="0" fontId="48" fillId="0" borderId="7" xfId="6" applyFont="1" applyBorder="1" applyAlignment="1">
      <alignment vertical="center"/>
    </xf>
    <xf numFmtId="0" fontId="48" fillId="3" borderId="7" xfId="0" applyFont="1" applyFill="1" applyBorder="1">
      <alignment vertical="center"/>
    </xf>
    <xf numFmtId="0" fontId="48" fillId="3" borderId="7" xfId="0" applyFont="1" applyFill="1" applyBorder="1" applyAlignment="1">
      <alignment horizontal="left" vertical="center"/>
    </xf>
    <xf numFmtId="0" fontId="48" fillId="3" borderId="7" xfId="6" applyFont="1" applyFill="1" applyBorder="1" applyAlignment="1">
      <alignment vertical="center" wrapText="1"/>
    </xf>
    <xf numFmtId="0" fontId="48" fillId="3" borderId="20" xfId="6" applyFont="1" applyFill="1" applyBorder="1" applyAlignment="1">
      <alignment vertical="center" wrapText="1"/>
    </xf>
    <xf numFmtId="0" fontId="48" fillId="0" borderId="7" xfId="0" applyFont="1" applyBorder="1" applyAlignment="1">
      <alignment horizontal="left" vertical="center"/>
    </xf>
    <xf numFmtId="0" fontId="48" fillId="3" borderId="21" xfId="0" applyFont="1" applyFill="1" applyBorder="1" applyAlignment="1">
      <alignment horizontal="left" vertical="center"/>
    </xf>
    <xf numFmtId="12" fontId="47" fillId="0" borderId="21" xfId="0" applyNumberFormat="1" applyFont="1" applyBorder="1" applyAlignment="1">
      <alignment horizontal="center" vertical="center"/>
    </xf>
    <xf numFmtId="12" fontId="47" fillId="0" borderId="35" xfId="0" applyNumberFormat="1" applyFont="1" applyBorder="1" applyAlignment="1">
      <alignment horizontal="center" vertical="center"/>
    </xf>
    <xf numFmtId="0" fontId="48" fillId="3" borderId="20" xfId="0" applyFont="1" applyFill="1" applyBorder="1">
      <alignment vertical="center"/>
    </xf>
    <xf numFmtId="0" fontId="48" fillId="3" borderId="20" xfId="0" applyFont="1" applyFill="1" applyBorder="1" applyAlignment="1">
      <alignment horizontal="left" vertical="center"/>
    </xf>
    <xf numFmtId="0" fontId="48" fillId="0" borderId="20" xfId="0" applyFont="1" applyBorder="1" applyAlignment="1">
      <alignment horizontal="left" vertical="center"/>
    </xf>
    <xf numFmtId="0" fontId="47" fillId="0" borderId="8" xfId="0" applyFont="1" applyBorder="1" applyAlignment="1">
      <alignment horizontal="left" vertical="center"/>
    </xf>
    <xf numFmtId="0" fontId="49" fillId="0" borderId="8" xfId="0" applyFont="1" applyBorder="1" applyAlignment="1">
      <alignment horizontal="left" vertical="center"/>
    </xf>
    <xf numFmtId="12" fontId="50" fillId="3" borderId="21" xfId="0" applyNumberFormat="1" applyFont="1" applyFill="1" applyBorder="1" applyAlignment="1">
      <alignment horizontal="center" vertical="center"/>
    </xf>
    <xf numFmtId="0" fontId="48" fillId="0" borderId="20" xfId="6" applyFont="1" applyBorder="1" applyAlignment="1">
      <alignment vertical="center"/>
    </xf>
    <xf numFmtId="0" fontId="48" fillId="0" borderId="7" xfId="6" applyFont="1" applyBorder="1" applyAlignment="1">
      <alignment horizontal="left" vertical="center"/>
    </xf>
    <xf numFmtId="0" fontId="48" fillId="0" borderId="20" xfId="6" applyFont="1" applyBorder="1" applyAlignment="1">
      <alignment horizontal="left" vertical="center"/>
    </xf>
    <xf numFmtId="0" fontId="46" fillId="3" borderId="94" xfId="6" applyFont="1" applyFill="1" applyBorder="1" applyAlignment="1">
      <alignment vertical="center"/>
    </xf>
    <xf numFmtId="0" fontId="46" fillId="3" borderId="45" xfId="6" applyFont="1" applyFill="1" applyBorder="1" applyAlignment="1">
      <alignment vertical="center"/>
    </xf>
    <xf numFmtId="41" fontId="41" fillId="7" borderId="64" xfId="6" applyNumberFormat="1" applyFont="1" applyFill="1" applyBorder="1" applyAlignment="1">
      <alignment vertical="center"/>
    </xf>
    <xf numFmtId="167" fontId="12" fillId="7" borderId="64" xfId="6" applyNumberFormat="1" applyFont="1" applyFill="1" applyBorder="1" applyAlignment="1">
      <alignment vertical="center"/>
    </xf>
    <xf numFmtId="0" fontId="13" fillId="0" borderId="0" xfId="6" applyFont="1" applyAlignment="1">
      <alignment horizontal="center" vertical="center"/>
    </xf>
    <xf numFmtId="0" fontId="11" fillId="3" borderId="16" xfId="6" applyFont="1" applyFill="1" applyBorder="1" applyAlignment="1">
      <alignment horizontal="center" vertical="center"/>
    </xf>
    <xf numFmtId="0" fontId="11" fillId="3" borderId="0" xfId="6" applyFont="1" applyFill="1" applyAlignment="1">
      <alignment horizontal="center" vertical="center"/>
    </xf>
    <xf numFmtId="0" fontId="11" fillId="3" borderId="0" xfId="6" applyFont="1" applyFill="1" applyAlignment="1">
      <alignment horizontal="center" vertical="top"/>
    </xf>
    <xf numFmtId="0" fontId="51" fillId="3" borderId="7" xfId="6" applyFont="1" applyFill="1" applyBorder="1" applyAlignment="1">
      <alignment horizontal="left" vertical="center"/>
    </xf>
    <xf numFmtId="168" fontId="51" fillId="3" borderId="7" xfId="6" applyNumberFormat="1" applyFont="1" applyFill="1" applyBorder="1" applyAlignment="1">
      <alignment horizontal="left" vertical="center"/>
    </xf>
    <xf numFmtId="0" fontId="51" fillId="0" borderId="7" xfId="6" applyFont="1" applyBorder="1" applyAlignment="1">
      <alignment horizontal="left" vertical="center"/>
    </xf>
    <xf numFmtId="0" fontId="51" fillId="3" borderId="69" xfId="6" applyFont="1" applyFill="1" applyBorder="1" applyAlignment="1">
      <alignment horizontal="left" vertical="center" wrapText="1"/>
    </xf>
    <xf numFmtId="0" fontId="51" fillId="3" borderId="70" xfId="6" applyFont="1" applyFill="1" applyBorder="1" applyAlignment="1">
      <alignment horizontal="left" vertical="center" wrapText="1"/>
    </xf>
    <xf numFmtId="0" fontId="51" fillId="3" borderId="23" xfId="6" applyFont="1" applyFill="1" applyBorder="1" applyAlignment="1">
      <alignment horizontal="left" vertical="center"/>
    </xf>
    <xf numFmtId="0" fontId="51" fillId="3" borderId="24" xfId="6" applyFont="1" applyFill="1" applyBorder="1" applyAlignment="1">
      <alignment horizontal="left" vertical="center"/>
    </xf>
    <xf numFmtId="0" fontId="51" fillId="0" borderId="25" xfId="6" applyFont="1" applyBorder="1" applyAlignment="1">
      <alignment horizontal="left" vertical="center"/>
    </xf>
    <xf numFmtId="0" fontId="51" fillId="3" borderId="15" xfId="6" applyFont="1" applyFill="1" applyBorder="1" applyAlignment="1">
      <alignment horizontal="left" vertical="center"/>
    </xf>
    <xf numFmtId="0" fontId="13" fillId="3" borderId="68" xfId="6" applyFont="1" applyFill="1" applyBorder="1" applyAlignment="1">
      <alignment horizontal="left" vertical="center"/>
    </xf>
    <xf numFmtId="0" fontId="13" fillId="3" borderId="8" xfId="6" applyFont="1" applyFill="1" applyBorder="1" applyAlignment="1">
      <alignment horizontal="left" vertical="center"/>
    </xf>
    <xf numFmtId="41" fontId="12" fillId="3" borderId="67" xfId="1" applyFont="1" applyFill="1" applyBorder="1" applyAlignment="1">
      <alignment vertical="center" wrapText="1"/>
    </xf>
    <xf numFmtId="41" fontId="12" fillId="3" borderId="83" xfId="1" applyFont="1" applyFill="1" applyBorder="1" applyAlignment="1">
      <alignment vertical="center" wrapText="1"/>
    </xf>
    <xf numFmtId="41" fontId="12" fillId="3" borderId="66" xfId="1" applyFont="1" applyFill="1" applyBorder="1" applyAlignment="1">
      <alignment vertical="center" wrapText="1"/>
    </xf>
    <xf numFmtId="41" fontId="12" fillId="7" borderId="64" xfId="1" applyFont="1" applyFill="1" applyBorder="1" applyAlignment="1">
      <alignment vertical="center" wrapText="1"/>
    </xf>
    <xf numFmtId="0" fontId="13" fillId="3" borderId="67" xfId="6" applyFont="1" applyFill="1" applyBorder="1" applyAlignment="1">
      <alignment horizontal="center" vertical="center" wrapText="1"/>
    </xf>
    <xf numFmtId="0" fontId="13" fillId="3" borderId="83" xfId="6" applyFont="1" applyFill="1" applyBorder="1" applyAlignment="1">
      <alignment horizontal="center" vertical="center" wrapText="1"/>
    </xf>
    <xf numFmtId="0" fontId="13" fillId="3" borderId="66" xfId="6" applyFont="1" applyFill="1" applyBorder="1" applyAlignment="1">
      <alignment horizontal="center" vertical="center" wrapText="1"/>
    </xf>
    <xf numFmtId="41" fontId="12" fillId="3" borderId="36" xfId="1" applyFont="1" applyFill="1" applyBorder="1" applyAlignment="1">
      <alignment vertical="center" wrapText="1"/>
    </xf>
    <xf numFmtId="41" fontId="12" fillId="3" borderId="49" xfId="1" applyFont="1" applyFill="1" applyBorder="1" applyAlignment="1">
      <alignment vertical="center" wrapText="1"/>
    </xf>
    <xf numFmtId="41" fontId="12" fillId="3" borderId="72" xfId="1" applyFont="1" applyFill="1" applyBorder="1" applyAlignment="1">
      <alignment vertical="center" wrapText="1"/>
    </xf>
    <xf numFmtId="41" fontId="12" fillId="3" borderId="73" xfId="1" applyFont="1" applyFill="1" applyBorder="1" applyAlignment="1">
      <alignment vertical="center" wrapText="1"/>
    </xf>
    <xf numFmtId="41" fontId="12" fillId="3" borderId="11" xfId="1" applyFont="1" applyFill="1" applyBorder="1" applyAlignment="1">
      <alignment vertical="center" wrapText="1"/>
    </xf>
    <xf numFmtId="41" fontId="12" fillId="3" borderId="55" xfId="1" applyFont="1" applyFill="1" applyBorder="1" applyAlignment="1">
      <alignment vertical="center" wrapText="1"/>
    </xf>
    <xf numFmtId="0" fontId="14" fillId="7" borderId="40" xfId="6" applyFont="1" applyFill="1" applyBorder="1" applyAlignment="1">
      <alignment horizontal="center" vertical="center"/>
    </xf>
    <xf numFmtId="0" fontId="14" fillId="7" borderId="64" xfId="6" applyFont="1" applyFill="1" applyBorder="1" applyAlignment="1">
      <alignment horizontal="center" vertical="center"/>
    </xf>
    <xf numFmtId="175" fontId="41" fillId="7" borderId="64" xfId="6" applyNumberFormat="1" applyFont="1" applyFill="1" applyBorder="1" applyAlignment="1">
      <alignment horizontal="center" vertical="center" wrapText="1"/>
    </xf>
    <xf numFmtId="175" fontId="41" fillId="7" borderId="100" xfId="6" applyNumberFormat="1" applyFont="1" applyFill="1" applyBorder="1" applyAlignment="1">
      <alignment horizontal="center" vertical="center" wrapText="1"/>
    </xf>
    <xf numFmtId="0" fontId="8" fillId="0" borderId="61" xfId="6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2" fontId="6" fillId="8" borderId="61" xfId="6" applyNumberFormat="1" applyFont="1" applyFill="1" applyBorder="1" applyAlignment="1">
      <alignment horizontal="center" vertical="center"/>
    </xf>
    <xf numFmtId="2" fontId="6" fillId="8" borderId="34" xfId="6" applyNumberFormat="1" applyFont="1" applyFill="1" applyBorder="1" applyAlignment="1">
      <alignment horizontal="center" vertical="center"/>
    </xf>
    <xf numFmtId="0" fontId="8" fillId="11" borderId="93" xfId="6" applyFont="1" applyFill="1" applyBorder="1" applyAlignment="1">
      <alignment horizontal="center" vertical="center" wrapText="1"/>
    </xf>
    <xf numFmtId="0" fontId="8" fillId="11" borderId="0" xfId="6" applyFont="1" applyFill="1" applyAlignment="1">
      <alignment horizontal="center" vertical="center" wrapText="1"/>
    </xf>
    <xf numFmtId="0" fontId="8" fillId="11" borderId="38" xfId="6" applyFont="1" applyFill="1" applyBorder="1" applyAlignment="1">
      <alignment horizontal="center" vertical="center" wrapText="1"/>
    </xf>
    <xf numFmtId="0" fontId="13" fillId="3" borderId="67" xfId="6" applyFont="1" applyFill="1" applyBorder="1" applyAlignment="1">
      <alignment horizontal="center" vertical="center" wrapText="1"/>
    </xf>
    <xf numFmtId="0" fontId="13" fillId="3" borderId="82" xfId="6" applyFont="1" applyFill="1" applyBorder="1" applyAlignment="1">
      <alignment horizontal="center" vertical="center" wrapText="1"/>
    </xf>
    <xf numFmtId="0" fontId="13" fillId="3" borderId="1" xfId="6" applyFont="1" applyFill="1" applyBorder="1" applyAlignment="1">
      <alignment horizontal="center" vertical="center"/>
    </xf>
    <xf numFmtId="0" fontId="13" fillId="3" borderId="60" xfId="6" applyFont="1" applyFill="1" applyBorder="1" applyAlignment="1">
      <alignment horizontal="center" vertical="center"/>
    </xf>
    <xf numFmtId="0" fontId="13" fillId="3" borderId="2" xfId="6" applyFont="1" applyFill="1" applyBorder="1" applyAlignment="1">
      <alignment horizontal="center" vertical="center"/>
    </xf>
    <xf numFmtId="0" fontId="13" fillId="3" borderId="38" xfId="6" applyFont="1" applyFill="1" applyBorder="1" applyAlignment="1">
      <alignment horizontal="center" vertical="center"/>
    </xf>
    <xf numFmtId="0" fontId="13" fillId="3" borderId="61" xfId="6" applyFont="1" applyFill="1" applyBorder="1" applyAlignment="1">
      <alignment horizontal="center" vertical="center" wrapText="1"/>
    </xf>
    <xf numFmtId="0" fontId="13" fillId="3" borderId="34" xfId="6" applyFont="1" applyFill="1" applyBorder="1" applyAlignment="1">
      <alignment horizontal="center" vertical="center" wrapText="1"/>
    </xf>
    <xf numFmtId="0" fontId="13" fillId="0" borderId="99" xfId="6" applyFont="1" applyBorder="1" applyAlignment="1">
      <alignment horizontal="center" vertical="center" wrapText="1"/>
    </xf>
    <xf numFmtId="170" fontId="14" fillId="3" borderId="61" xfId="6" applyNumberFormat="1" applyFont="1" applyFill="1" applyBorder="1" applyAlignment="1">
      <alignment horizontal="center" vertical="center" wrapText="1"/>
    </xf>
    <xf numFmtId="170" fontId="14" fillId="3" borderId="34" xfId="6" applyNumberFormat="1" applyFont="1" applyFill="1" applyBorder="1" applyAlignment="1">
      <alignment horizontal="center" vertical="center" wrapText="1"/>
    </xf>
    <xf numFmtId="0" fontId="13" fillId="3" borderId="99" xfId="6" applyFont="1" applyFill="1" applyBorder="1" applyAlignment="1">
      <alignment horizontal="center" vertical="center" wrapText="1"/>
    </xf>
    <xf numFmtId="0" fontId="8" fillId="0" borderId="67" xfId="6" applyFont="1" applyBorder="1" applyAlignment="1">
      <alignment horizontal="center" vertical="center" wrapText="1"/>
    </xf>
    <xf numFmtId="0" fontId="8" fillId="0" borderId="30" xfId="6" applyFont="1" applyBorder="1" applyAlignment="1">
      <alignment horizontal="center" vertical="center" wrapText="1"/>
    </xf>
    <xf numFmtId="2" fontId="14" fillId="12" borderId="62" xfId="6" applyNumberFormat="1" applyFont="1" applyFill="1" applyBorder="1" applyAlignment="1">
      <alignment horizontal="left" vertical="center" wrapText="1"/>
    </xf>
    <xf numFmtId="2" fontId="14" fillId="12" borderId="16" xfId="6" applyNumberFormat="1" applyFont="1" applyFill="1" applyBorder="1" applyAlignment="1">
      <alignment horizontal="left" vertical="center" wrapText="1"/>
    </xf>
    <xf numFmtId="2" fontId="14" fillId="12" borderId="17" xfId="6" applyNumberFormat="1" applyFont="1" applyFill="1" applyBorder="1" applyAlignment="1">
      <alignment horizontal="left" vertical="center" wrapText="1"/>
    </xf>
    <xf numFmtId="2" fontId="14" fillId="12" borderId="93" xfId="6" applyNumberFormat="1" applyFont="1" applyFill="1" applyBorder="1" applyAlignment="1">
      <alignment horizontal="left" vertical="center" wrapText="1"/>
    </xf>
    <xf numFmtId="2" fontId="14" fillId="12" borderId="9" xfId="6" applyNumberFormat="1" applyFont="1" applyFill="1" applyBorder="1" applyAlignment="1">
      <alignment horizontal="left" vertical="center" wrapText="1"/>
    </xf>
    <xf numFmtId="0" fontId="37" fillId="0" borderId="3" xfId="6" applyFont="1" applyBorder="1" applyAlignment="1">
      <alignment horizontal="center" vertical="center"/>
    </xf>
    <xf numFmtId="0" fontId="37" fillId="0" borderId="20" xfId="6" applyFont="1" applyBorder="1" applyAlignment="1">
      <alignment horizontal="center" vertical="center"/>
    </xf>
    <xf numFmtId="0" fontId="35" fillId="3" borderId="34" xfId="6" applyFont="1" applyFill="1" applyBorder="1" applyAlignment="1">
      <alignment horizontal="center" vertical="center" wrapText="1"/>
    </xf>
    <xf numFmtId="0" fontId="35" fillId="3" borderId="66" xfId="6" applyFont="1" applyFill="1" applyBorder="1" applyAlignment="1">
      <alignment horizontal="center" vertical="center" wrapText="1"/>
    </xf>
    <xf numFmtId="0" fontId="35" fillId="10" borderId="62" xfId="6" applyFont="1" applyFill="1" applyBorder="1" applyAlignment="1">
      <alignment horizontal="center" vertical="center" wrapText="1"/>
    </xf>
    <xf numFmtId="0" fontId="35" fillId="10" borderId="16" xfId="6" applyFont="1" applyFill="1" applyBorder="1" applyAlignment="1">
      <alignment horizontal="center" vertical="center" wrapText="1"/>
    </xf>
    <xf numFmtId="0" fontId="35" fillId="10" borderId="17" xfId="6" applyFont="1" applyFill="1" applyBorder="1" applyAlignment="1">
      <alignment horizontal="center" vertical="center" wrapText="1"/>
    </xf>
    <xf numFmtId="0" fontId="35" fillId="10" borderId="55" xfId="6" applyFont="1" applyFill="1" applyBorder="1" applyAlignment="1">
      <alignment horizontal="center" vertical="center" wrapText="1"/>
    </xf>
    <xf numFmtId="0" fontId="35" fillId="10" borderId="11" xfId="6" applyFont="1" applyFill="1" applyBorder="1" applyAlignment="1">
      <alignment horizontal="center" vertical="center" wrapText="1"/>
    </xf>
    <xf numFmtId="0" fontId="35" fillId="10" borderId="56" xfId="6" applyFont="1" applyFill="1" applyBorder="1" applyAlignment="1">
      <alignment horizontal="center" vertical="center" wrapText="1"/>
    </xf>
    <xf numFmtId="0" fontId="37" fillId="3" borderId="8" xfId="6" applyFont="1" applyFill="1" applyBorder="1" applyAlignment="1">
      <alignment horizontal="center" vertical="center"/>
    </xf>
    <xf numFmtId="0" fontId="37" fillId="3" borderId="7" xfId="6" applyFont="1" applyFill="1" applyBorder="1" applyAlignment="1">
      <alignment horizontal="center" vertical="center"/>
    </xf>
    <xf numFmtId="0" fontId="37" fillId="3" borderId="15" xfId="6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3" fillId="0" borderId="2" xfId="6" applyFont="1" applyBorder="1" applyAlignment="1">
      <alignment horizontal="left" vertical="center"/>
    </xf>
    <xf numFmtId="0" fontId="13" fillId="0" borderId="0" xfId="6" applyFont="1" applyAlignment="1">
      <alignment horizontal="left" vertical="center"/>
    </xf>
    <xf numFmtId="0" fontId="13" fillId="0" borderId="9" xfId="6" applyFont="1" applyBorder="1" applyAlignment="1">
      <alignment horizontal="left" vertical="center"/>
    </xf>
    <xf numFmtId="0" fontId="12" fillId="0" borderId="6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8" fillId="4" borderId="18" xfId="6" applyFont="1" applyFill="1" applyBorder="1" applyAlignment="1">
      <alignment horizontal="center" vertical="center"/>
    </xf>
    <xf numFmtId="0" fontId="8" fillId="4" borderId="19" xfId="6" applyFont="1" applyFill="1" applyBorder="1" applyAlignment="1">
      <alignment horizontal="center" vertical="center"/>
    </xf>
    <xf numFmtId="0" fontId="8" fillId="4" borderId="33" xfId="6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49" fontId="38" fillId="8" borderId="60" xfId="6" applyNumberFormat="1" applyFont="1" applyFill="1" applyBorder="1" applyAlignment="1">
      <alignment horizontal="center" vertical="center" wrapText="1"/>
    </xf>
    <xf numFmtId="49" fontId="38" fillId="8" borderId="63" xfId="6" applyNumberFormat="1" applyFont="1" applyFill="1" applyBorder="1" applyAlignment="1">
      <alignment horizontal="center" vertical="center" wrapText="1"/>
    </xf>
    <xf numFmtId="49" fontId="38" fillId="8" borderId="61" xfId="6" applyNumberFormat="1" applyFont="1" applyFill="1" applyBorder="1" applyAlignment="1">
      <alignment horizontal="center" vertical="center" wrapText="1"/>
    </xf>
    <xf numFmtId="49" fontId="38" fillId="8" borderId="64" xfId="6" applyNumberFormat="1" applyFont="1" applyFill="1" applyBorder="1" applyAlignment="1">
      <alignment horizontal="center" vertical="center" wrapText="1"/>
    </xf>
    <xf numFmtId="0" fontId="38" fillId="8" borderId="62" xfId="6" applyFont="1" applyFill="1" applyBorder="1" applyAlignment="1">
      <alignment horizontal="center" vertical="center" wrapText="1"/>
    </xf>
    <xf numFmtId="0" fontId="38" fillId="8" borderId="16" xfId="6" applyFont="1" applyFill="1" applyBorder="1" applyAlignment="1">
      <alignment horizontal="center" vertical="center" wrapText="1"/>
    </xf>
    <xf numFmtId="0" fontId="38" fillId="8" borderId="17" xfId="6" applyFont="1" applyFill="1" applyBorder="1" applyAlignment="1">
      <alignment horizontal="center" vertical="center" wrapText="1"/>
    </xf>
    <xf numFmtId="0" fontId="38" fillId="8" borderId="65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6" xfId="6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/>
    </xf>
    <xf numFmtId="0" fontId="8" fillId="3" borderId="16" xfId="6" applyFont="1" applyFill="1" applyBorder="1" applyAlignment="1">
      <alignment horizontal="center" vertical="center"/>
    </xf>
    <xf numFmtId="0" fontId="8" fillId="3" borderId="17" xfId="6" applyFont="1" applyFill="1" applyBorder="1" applyAlignment="1">
      <alignment horizontal="center" vertical="center"/>
    </xf>
    <xf numFmtId="0" fontId="8" fillId="3" borderId="2" xfId="6" applyFont="1" applyFill="1" applyBorder="1" applyAlignment="1">
      <alignment horizontal="center" vertical="center"/>
    </xf>
    <xf numFmtId="0" fontId="8" fillId="3" borderId="0" xfId="6" applyFont="1" applyFill="1" applyAlignment="1">
      <alignment horizontal="center" vertical="center"/>
    </xf>
    <xf numFmtId="0" fontId="8" fillId="3" borderId="9" xfId="6" applyFont="1" applyFill="1" applyBorder="1" applyAlignment="1">
      <alignment horizontal="center" vertical="center"/>
    </xf>
    <xf numFmtId="0" fontId="8" fillId="3" borderId="4" xfId="6" applyFont="1" applyFill="1" applyBorder="1" applyAlignment="1">
      <alignment horizontal="center" vertical="center"/>
    </xf>
    <xf numFmtId="0" fontId="8" fillId="3" borderId="5" xfId="6" applyFont="1" applyFill="1" applyBorder="1" applyAlignment="1">
      <alignment horizontal="center" vertical="center"/>
    </xf>
    <xf numFmtId="0" fontId="8" fillId="3" borderId="6" xfId="6" applyFont="1" applyFill="1" applyBorder="1" applyAlignment="1">
      <alignment horizontal="center" vertical="center"/>
    </xf>
    <xf numFmtId="0" fontId="34" fillId="3" borderId="1" xfId="6" applyFont="1" applyFill="1" applyBorder="1" applyAlignment="1">
      <alignment horizontal="left" vertical="center" wrapText="1"/>
    </xf>
    <xf numFmtId="0" fontId="34" fillId="3" borderId="16" xfId="6" applyFont="1" applyFill="1" applyBorder="1" applyAlignment="1">
      <alignment horizontal="left" vertical="center" wrapText="1"/>
    </xf>
    <xf numFmtId="0" fontId="34" fillId="3" borderId="17" xfId="6" applyFont="1" applyFill="1" applyBorder="1" applyAlignment="1">
      <alignment horizontal="left" vertical="center" wrapText="1"/>
    </xf>
    <xf numFmtId="0" fontId="34" fillId="3" borderId="2" xfId="6" applyFont="1" applyFill="1" applyBorder="1" applyAlignment="1">
      <alignment horizontal="left" vertical="center" wrapText="1"/>
    </xf>
    <xf numFmtId="0" fontId="34" fillId="3" borderId="0" xfId="6" applyFont="1" applyFill="1" applyAlignment="1">
      <alignment horizontal="left" vertical="center" wrapText="1"/>
    </xf>
    <xf numFmtId="0" fontId="34" fillId="3" borderId="9" xfId="6" applyFont="1" applyFill="1" applyBorder="1" applyAlignment="1">
      <alignment horizontal="left" vertical="center" wrapText="1"/>
    </xf>
    <xf numFmtId="0" fontId="34" fillId="3" borderId="4" xfId="6" applyFont="1" applyFill="1" applyBorder="1" applyAlignment="1">
      <alignment horizontal="left" vertical="center" wrapText="1"/>
    </xf>
    <xf numFmtId="0" fontId="34" fillId="3" borderId="5" xfId="6" applyFont="1" applyFill="1" applyBorder="1" applyAlignment="1">
      <alignment horizontal="left" vertical="center" wrapText="1"/>
    </xf>
    <xf numFmtId="0" fontId="34" fillId="3" borderId="6" xfId="6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38" fillId="8" borderId="1" xfId="6" applyFont="1" applyFill="1" applyBorder="1" applyAlignment="1">
      <alignment horizontal="center" vertical="center" wrapText="1"/>
    </xf>
    <xf numFmtId="0" fontId="38" fillId="8" borderId="4" xfId="6" applyFont="1" applyFill="1" applyBorder="1" applyAlignment="1">
      <alignment horizontal="center" vertical="center" wrapText="1"/>
    </xf>
    <xf numFmtId="0" fontId="39" fillId="3" borderId="1" xfId="6" applyFont="1" applyFill="1" applyBorder="1" applyAlignment="1">
      <alignment horizontal="center" vertical="center"/>
    </xf>
    <xf numFmtId="0" fontId="39" fillId="3" borderId="16" xfId="6" applyFont="1" applyFill="1" applyBorder="1" applyAlignment="1">
      <alignment horizontal="center" vertical="center"/>
    </xf>
    <xf numFmtId="0" fontId="39" fillId="3" borderId="17" xfId="6" applyFont="1" applyFill="1" applyBorder="1" applyAlignment="1">
      <alignment horizontal="center" vertical="center"/>
    </xf>
    <xf numFmtId="0" fontId="39" fillId="3" borderId="2" xfId="6" applyFont="1" applyFill="1" applyBorder="1" applyAlignment="1">
      <alignment horizontal="center" vertical="center"/>
    </xf>
    <xf numFmtId="0" fontId="39" fillId="3" borderId="0" xfId="6" applyFont="1" applyFill="1" applyAlignment="1">
      <alignment horizontal="center" vertical="center"/>
    </xf>
    <xf numFmtId="0" fontId="39" fillId="3" borderId="9" xfId="6" applyFont="1" applyFill="1" applyBorder="1" applyAlignment="1">
      <alignment horizontal="center" vertical="center"/>
    </xf>
    <xf numFmtId="0" fontId="39" fillId="3" borderId="4" xfId="6" applyFont="1" applyFill="1" applyBorder="1" applyAlignment="1">
      <alignment horizontal="center" vertical="center"/>
    </xf>
    <xf numFmtId="0" fontId="39" fillId="3" borderId="5" xfId="6" applyFont="1" applyFill="1" applyBorder="1" applyAlignment="1">
      <alignment horizontal="center" vertical="center"/>
    </xf>
    <xf numFmtId="0" fontId="39" fillId="3" borderId="6" xfId="6" applyFont="1" applyFill="1" applyBorder="1" applyAlignment="1">
      <alignment horizontal="center" vertical="center"/>
    </xf>
    <xf numFmtId="0" fontId="38" fillId="9" borderId="1" xfId="6" applyFont="1" applyFill="1" applyBorder="1" applyAlignment="1">
      <alignment horizontal="center" vertical="center" wrapText="1"/>
    </xf>
    <xf numFmtId="0" fontId="38" fillId="9" borderId="16" xfId="6" applyFont="1" applyFill="1" applyBorder="1" applyAlignment="1">
      <alignment horizontal="center" vertical="center" wrapText="1"/>
    </xf>
    <xf numFmtId="0" fontId="38" fillId="9" borderId="17" xfId="6" applyFont="1" applyFill="1" applyBorder="1" applyAlignment="1">
      <alignment horizontal="center" vertical="center" wrapText="1"/>
    </xf>
    <xf numFmtId="0" fontId="38" fillId="9" borderId="10" xfId="6" applyFont="1" applyFill="1" applyBorder="1" applyAlignment="1">
      <alignment horizontal="center" vertical="center" wrapText="1"/>
    </xf>
    <xf numFmtId="0" fontId="38" fillId="9" borderId="11" xfId="6" applyFont="1" applyFill="1" applyBorder="1" applyAlignment="1">
      <alignment horizontal="center" vertical="center" wrapText="1"/>
    </xf>
    <xf numFmtId="0" fontId="38" fillId="9" borderId="56" xfId="6" applyFont="1" applyFill="1" applyBorder="1" applyAlignment="1">
      <alignment horizontal="center" vertical="center" wrapText="1"/>
    </xf>
    <xf numFmtId="0" fontId="35" fillId="3" borderId="38" xfId="6" applyFont="1" applyFill="1" applyBorder="1" applyAlignment="1">
      <alignment horizontal="center" vertical="center" wrapText="1"/>
    </xf>
    <xf numFmtId="0" fontId="35" fillId="3" borderId="32" xfId="6" applyFont="1" applyFill="1" applyBorder="1" applyAlignment="1">
      <alignment horizontal="center" vertical="center" wrapText="1"/>
    </xf>
    <xf numFmtId="0" fontId="37" fillId="0" borderId="44" xfId="6" applyFont="1" applyBorder="1" applyAlignment="1">
      <alignment horizontal="center" vertical="center"/>
    </xf>
    <xf numFmtId="0" fontId="37" fillId="0" borderId="28" xfId="6" applyFont="1" applyBorder="1" applyAlignment="1">
      <alignment horizontal="center" vertical="center"/>
    </xf>
    <xf numFmtId="0" fontId="37" fillId="3" borderId="23" xfId="6" applyFont="1" applyFill="1" applyBorder="1" applyAlignment="1">
      <alignment horizontal="center" vertical="center"/>
    </xf>
    <xf numFmtId="0" fontId="37" fillId="3" borderId="24" xfId="6" applyFont="1" applyFill="1" applyBorder="1" applyAlignment="1">
      <alignment horizontal="center" vertical="center"/>
    </xf>
    <xf numFmtId="0" fontId="37" fillId="3" borderId="25" xfId="6" applyFont="1" applyFill="1" applyBorder="1" applyAlignment="1">
      <alignment horizontal="center" vertical="center"/>
    </xf>
    <xf numFmtId="0" fontId="35" fillId="10" borderId="29" xfId="6" applyFont="1" applyFill="1" applyBorder="1" applyAlignment="1">
      <alignment horizontal="center" vertical="center" wrapText="1"/>
    </xf>
    <xf numFmtId="0" fontId="35" fillId="10" borderId="13" xfId="6" applyFont="1" applyFill="1" applyBorder="1" applyAlignment="1">
      <alignment horizontal="center" vertical="center" wrapText="1"/>
    </xf>
    <xf numFmtId="0" fontId="35" fillId="10" borderId="43" xfId="6" applyFont="1" applyFill="1" applyBorder="1" applyAlignment="1">
      <alignment horizontal="center" vertical="center" wrapText="1"/>
    </xf>
    <xf numFmtId="0" fontId="35" fillId="10" borderId="65" xfId="6" applyFont="1" applyFill="1" applyBorder="1" applyAlignment="1">
      <alignment horizontal="center" vertical="center" wrapText="1"/>
    </xf>
    <xf numFmtId="0" fontId="35" fillId="10" borderId="5" xfId="6" applyFont="1" applyFill="1" applyBorder="1" applyAlignment="1">
      <alignment horizontal="center" vertical="center" wrapText="1"/>
    </xf>
    <xf numFmtId="0" fontId="35" fillId="10" borderId="6" xfId="6" applyFont="1" applyFill="1" applyBorder="1" applyAlignment="1">
      <alignment horizontal="center" vertical="center" wrapText="1"/>
    </xf>
    <xf numFmtId="0" fontId="14" fillId="8" borderId="2" xfId="6" applyFont="1" applyFill="1" applyBorder="1" applyAlignment="1">
      <alignment horizontal="center" vertical="center"/>
    </xf>
    <xf numFmtId="0" fontId="14" fillId="8" borderId="0" xfId="6" applyFont="1" applyFill="1" applyAlignment="1">
      <alignment horizontal="center" vertical="center"/>
    </xf>
    <xf numFmtId="0" fontId="14" fillId="8" borderId="9" xfId="6" applyFont="1" applyFill="1" applyBorder="1" applyAlignment="1">
      <alignment horizontal="center" vertical="center"/>
    </xf>
    <xf numFmtId="0" fontId="14" fillId="8" borderId="4" xfId="6" applyFont="1" applyFill="1" applyBorder="1" applyAlignment="1">
      <alignment horizontal="center" vertical="center"/>
    </xf>
    <xf numFmtId="0" fontId="14" fillId="8" borderId="5" xfId="6" applyFont="1" applyFill="1" applyBorder="1" applyAlignment="1">
      <alignment horizontal="center" vertical="center"/>
    </xf>
    <xf numFmtId="0" fontId="14" fillId="8" borderId="6" xfId="6" applyFont="1" applyFill="1" applyBorder="1" applyAlignment="1">
      <alignment horizontal="center" vertical="center"/>
    </xf>
    <xf numFmtId="0" fontId="37" fillId="0" borderId="45" xfId="6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0" fontId="37" fillId="3" borderId="22" xfId="6" applyFont="1" applyFill="1" applyBorder="1" applyAlignment="1">
      <alignment horizontal="center" vertical="center"/>
    </xf>
    <xf numFmtId="0" fontId="37" fillId="3" borderId="68" xfId="6" applyFont="1" applyFill="1" applyBorder="1" applyAlignment="1">
      <alignment horizontal="center" vertical="center"/>
    </xf>
    <xf numFmtId="0" fontId="37" fillId="3" borderId="46" xfId="6" applyFont="1" applyFill="1" applyBorder="1" applyAlignment="1">
      <alignment horizontal="center" vertical="center"/>
    </xf>
    <xf numFmtId="0" fontId="38" fillId="9" borderId="12" xfId="6" applyFont="1" applyFill="1" applyBorder="1" applyAlignment="1">
      <alignment horizontal="center" vertical="center" wrapText="1"/>
    </xf>
    <xf numFmtId="0" fontId="38" fillId="9" borderId="13" xfId="6" applyFont="1" applyFill="1" applyBorder="1" applyAlignment="1">
      <alignment horizontal="center" vertical="center" wrapText="1"/>
    </xf>
    <xf numFmtId="0" fontId="38" fillId="9" borderId="43" xfId="6" applyFont="1" applyFill="1" applyBorder="1" applyAlignment="1">
      <alignment horizontal="center" vertical="center" wrapText="1"/>
    </xf>
    <xf numFmtId="0" fontId="38" fillId="9" borderId="4" xfId="6" applyFont="1" applyFill="1" applyBorder="1" applyAlignment="1">
      <alignment horizontal="center" vertical="center" wrapText="1"/>
    </xf>
    <xf numFmtId="0" fontId="38" fillId="9" borderId="5" xfId="6" applyFont="1" applyFill="1" applyBorder="1" applyAlignment="1">
      <alignment horizontal="center" vertical="center" wrapText="1"/>
    </xf>
    <xf numFmtId="0" fontId="38" fillId="9" borderId="6" xfId="6" applyFont="1" applyFill="1" applyBorder="1" applyAlignment="1">
      <alignment horizontal="center" vertical="center" wrapText="1"/>
    </xf>
    <xf numFmtId="0" fontId="35" fillId="3" borderId="31" xfId="6" applyFont="1" applyFill="1" applyBorder="1" applyAlignment="1">
      <alignment horizontal="center" vertical="center" wrapText="1"/>
    </xf>
    <xf numFmtId="0" fontId="35" fillId="3" borderId="63" xfId="6" applyFont="1" applyFill="1" applyBorder="1" applyAlignment="1">
      <alignment horizontal="center" vertical="center" wrapText="1"/>
    </xf>
    <xf numFmtId="0" fontId="35" fillId="3" borderId="30" xfId="6" applyFont="1" applyFill="1" applyBorder="1" applyAlignment="1">
      <alignment horizontal="center" vertical="center" wrapText="1"/>
    </xf>
    <xf numFmtId="0" fontId="35" fillId="3" borderId="64" xfId="6" applyFont="1" applyFill="1" applyBorder="1" applyAlignment="1">
      <alignment horizontal="center" vertical="center" wrapText="1"/>
    </xf>
    <xf numFmtId="0" fontId="11" fillId="0" borderId="2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11" fillId="0" borderId="9" xfId="6" applyFont="1" applyBorder="1" applyAlignment="1">
      <alignment vertical="center"/>
    </xf>
    <xf numFmtId="0" fontId="8" fillId="0" borderId="52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12" fillId="3" borderId="52" xfId="0" applyFont="1" applyFill="1" applyBorder="1" applyAlignment="1">
      <alignment horizontal="center" vertical="center" wrapText="1"/>
    </xf>
    <xf numFmtId="0" fontId="12" fillId="3" borderId="47" xfId="0" applyFont="1" applyFill="1" applyBorder="1" applyAlignment="1">
      <alignment horizontal="center" vertical="center" wrapText="1"/>
    </xf>
    <xf numFmtId="0" fontId="12" fillId="3" borderId="53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12" fillId="3" borderId="77" xfId="6" applyFont="1" applyFill="1" applyBorder="1" applyAlignment="1">
      <alignment horizontal="center" vertical="center"/>
    </xf>
    <xf numFmtId="0" fontId="12" fillId="3" borderId="58" xfId="6" applyFont="1" applyFill="1" applyBorder="1" applyAlignment="1">
      <alignment horizontal="center" vertical="center"/>
    </xf>
    <xf numFmtId="0" fontId="12" fillId="3" borderId="14" xfId="6" applyFont="1" applyFill="1" applyBorder="1" applyAlignment="1">
      <alignment horizontal="center" vertical="center"/>
    </xf>
    <xf numFmtId="0" fontId="12" fillId="3" borderId="75" xfId="6" applyFont="1" applyFill="1" applyBorder="1" applyAlignment="1">
      <alignment horizontal="center" vertical="center"/>
    </xf>
    <xf numFmtId="0" fontId="12" fillId="3" borderId="78" xfId="6" applyFont="1" applyFill="1" applyBorder="1" applyAlignment="1">
      <alignment horizontal="center" vertical="center"/>
    </xf>
    <xf numFmtId="0" fontId="12" fillId="3" borderId="59" xfId="6" applyFont="1" applyFill="1" applyBorder="1" applyAlignment="1">
      <alignment horizontal="center" vertical="center"/>
    </xf>
    <xf numFmtId="0" fontId="12" fillId="3" borderId="92" xfId="6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 wrapText="1"/>
    </xf>
    <xf numFmtId="0" fontId="12" fillId="7" borderId="50" xfId="0" applyFont="1" applyFill="1" applyBorder="1" applyAlignment="1">
      <alignment horizontal="center" vertical="center" wrapText="1"/>
    </xf>
    <xf numFmtId="0" fontId="12" fillId="7" borderId="37" xfId="0" applyFont="1" applyFill="1" applyBorder="1" applyAlignment="1">
      <alignment horizontal="center" vertical="center" wrapText="1"/>
    </xf>
    <xf numFmtId="0" fontId="12" fillId="3" borderId="91" xfId="6" applyFont="1" applyFill="1" applyBorder="1" applyAlignment="1">
      <alignment horizontal="center" vertical="center"/>
    </xf>
    <xf numFmtId="0" fontId="12" fillId="3" borderId="76" xfId="6" applyFont="1" applyFill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16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/>
    </xf>
    <xf numFmtId="0" fontId="12" fillId="3" borderId="16" xfId="6" applyFont="1" applyFill="1" applyBorder="1" applyAlignment="1">
      <alignment horizontal="center" vertical="center"/>
    </xf>
    <xf numFmtId="0" fontId="12" fillId="3" borderId="60" xfId="6" applyFont="1" applyFill="1" applyBorder="1" applyAlignment="1">
      <alignment horizontal="center" vertical="center"/>
    </xf>
    <xf numFmtId="0" fontId="12" fillId="3" borderId="10" xfId="6" applyFont="1" applyFill="1" applyBorder="1" applyAlignment="1">
      <alignment horizontal="center" vertical="center"/>
    </xf>
    <xf numFmtId="0" fontId="12" fillId="3" borderId="11" xfId="6" applyFont="1" applyFill="1" applyBorder="1" applyAlignment="1">
      <alignment horizontal="center" vertical="center"/>
    </xf>
    <xf numFmtId="0" fontId="12" fillId="3" borderId="32" xfId="6" applyFont="1" applyFill="1" applyBorder="1" applyAlignment="1">
      <alignment horizontal="center" vertical="center"/>
    </xf>
    <xf numFmtId="0" fontId="42" fillId="2" borderId="18" xfId="6" applyFont="1" applyFill="1" applyBorder="1" applyAlignment="1">
      <alignment horizontal="center" vertical="center"/>
    </xf>
    <xf numFmtId="0" fontId="42" fillId="2" borderId="19" xfId="6" applyFont="1" applyFill="1" applyBorder="1" applyAlignment="1">
      <alignment horizontal="center" vertical="center"/>
    </xf>
    <xf numFmtId="0" fontId="42" fillId="2" borderId="33" xfId="6" applyFont="1" applyFill="1" applyBorder="1" applyAlignment="1">
      <alignment horizontal="center" vertical="center"/>
    </xf>
    <xf numFmtId="0" fontId="12" fillId="3" borderId="87" xfId="0" applyFont="1" applyFill="1" applyBorder="1" applyAlignment="1">
      <alignment horizontal="center" vertical="center"/>
    </xf>
    <xf numFmtId="0" fontId="12" fillId="3" borderId="74" xfId="0" applyFont="1" applyFill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/>
    </xf>
    <xf numFmtId="0" fontId="43" fillId="2" borderId="1" xfId="6" applyFont="1" applyFill="1" applyBorder="1" applyAlignment="1">
      <alignment horizontal="center" vertical="center"/>
    </xf>
    <xf numFmtId="0" fontId="43" fillId="2" borderId="16" xfId="6" applyFont="1" applyFill="1" applyBorder="1" applyAlignment="1">
      <alignment horizontal="center" vertical="center"/>
    </xf>
    <xf numFmtId="0" fontId="43" fillId="2" borderId="17" xfId="6" applyFont="1" applyFill="1" applyBorder="1" applyAlignment="1">
      <alignment horizontal="center" vertical="center"/>
    </xf>
    <xf numFmtId="172" fontId="29" fillId="3" borderId="19" xfId="6" applyNumberFormat="1" applyFont="1" applyFill="1" applyBorder="1" applyAlignment="1">
      <alignment horizontal="center" vertical="center"/>
    </xf>
    <xf numFmtId="0" fontId="12" fillId="0" borderId="79" xfId="6" applyFont="1" applyBorder="1" applyAlignment="1">
      <alignment horizontal="center" vertical="center"/>
    </xf>
    <xf numFmtId="0" fontId="12" fillId="0" borderId="69" xfId="6" applyFont="1" applyBorder="1" applyAlignment="1">
      <alignment horizontal="center" vertical="center"/>
    </xf>
    <xf numFmtId="0" fontId="12" fillId="3" borderId="68" xfId="6" applyFont="1" applyFill="1" applyBorder="1" applyAlignment="1">
      <alignment horizontal="center" vertical="center"/>
    </xf>
    <xf numFmtId="0" fontId="12" fillId="3" borderId="69" xfId="6" applyFont="1" applyFill="1" applyBorder="1" applyAlignment="1">
      <alignment horizontal="center" vertical="center"/>
    </xf>
    <xf numFmtId="0" fontId="12" fillId="3" borderId="70" xfId="6" applyFont="1" applyFill="1" applyBorder="1" applyAlignment="1">
      <alignment horizontal="center" vertical="center"/>
    </xf>
    <xf numFmtId="0" fontId="12" fillId="2" borderId="80" xfId="6" applyFont="1" applyFill="1" applyBorder="1" applyAlignment="1">
      <alignment horizontal="center" vertical="center"/>
    </xf>
    <xf numFmtId="0" fontId="12" fillId="2" borderId="69" xfId="6" applyFont="1" applyFill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26" xfId="6" applyFont="1" applyBorder="1" applyAlignment="1">
      <alignment horizontal="center" vertical="center"/>
    </xf>
    <xf numFmtId="0" fontId="12" fillId="0" borderId="7" xfId="6" applyFont="1" applyBorder="1" applyAlignment="1">
      <alignment horizontal="center" vertical="center"/>
    </xf>
    <xf numFmtId="0" fontId="12" fillId="3" borderId="8" xfId="6" applyFont="1" applyFill="1" applyBorder="1" applyAlignment="1">
      <alignment horizontal="center" vertical="center"/>
    </xf>
    <xf numFmtId="0" fontId="12" fillId="3" borderId="7" xfId="6" applyFont="1" applyFill="1" applyBorder="1" applyAlignment="1">
      <alignment horizontal="center" vertical="center"/>
    </xf>
    <xf numFmtId="0" fontId="12" fillId="3" borderId="15" xfId="6" applyFont="1" applyFill="1" applyBorder="1" applyAlignment="1">
      <alignment horizontal="center" vertical="center"/>
    </xf>
    <xf numFmtId="0" fontId="12" fillId="0" borderId="95" xfId="6" applyFont="1" applyBorder="1" applyAlignment="1">
      <alignment horizontal="center" vertical="center"/>
    </xf>
    <xf numFmtId="0" fontId="12" fillId="0" borderId="96" xfId="6" applyFont="1" applyBorder="1" applyAlignment="1">
      <alignment horizontal="center" vertical="center"/>
    </xf>
    <xf numFmtId="0" fontId="12" fillId="0" borderId="97" xfId="6" applyFont="1" applyBorder="1" applyAlignment="1">
      <alignment horizontal="center" vertical="center"/>
    </xf>
    <xf numFmtId="0" fontId="12" fillId="0" borderId="98" xfId="6" applyFont="1" applyBorder="1" applyAlignment="1">
      <alignment horizontal="center" vertical="center"/>
    </xf>
    <xf numFmtId="0" fontId="12" fillId="0" borderId="14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75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2" fillId="0" borderId="84" xfId="6" applyFont="1" applyBorder="1" applyAlignment="1">
      <alignment horizontal="center" vertical="center"/>
    </xf>
    <xf numFmtId="0" fontId="12" fillId="0" borderId="85" xfId="6" applyFont="1" applyBorder="1" applyAlignment="1">
      <alignment horizontal="center" vertical="center"/>
    </xf>
    <xf numFmtId="0" fontId="12" fillId="0" borderId="86" xfId="6" applyFont="1" applyBorder="1" applyAlignment="1">
      <alignment horizontal="center" vertical="center"/>
    </xf>
    <xf numFmtId="0" fontId="12" fillId="0" borderId="89" xfId="6" applyFont="1" applyBorder="1" applyAlignment="1">
      <alignment horizontal="center" vertical="center"/>
    </xf>
    <xf numFmtId="0" fontId="12" fillId="0" borderId="77" xfId="6" applyFont="1" applyBorder="1" applyAlignment="1">
      <alignment horizontal="center" vertical="center"/>
    </xf>
    <xf numFmtId="0" fontId="12" fillId="0" borderId="58" xfId="6" applyFont="1" applyBorder="1" applyAlignment="1">
      <alignment horizontal="center" vertical="center"/>
    </xf>
    <xf numFmtId="0" fontId="30" fillId="2" borderId="39" xfId="6" applyFont="1" applyFill="1" applyBorder="1" applyAlignment="1">
      <alignment horizontal="center" vertical="top" wrapText="1"/>
    </xf>
    <xf numFmtId="0" fontId="30" fillId="2" borderId="40" xfId="6" applyFont="1" applyFill="1" applyBorder="1" applyAlignment="1">
      <alignment horizontal="center" vertical="top" wrapText="1"/>
    </xf>
    <xf numFmtId="169" fontId="12" fillId="0" borderId="8" xfId="6" applyNumberFormat="1" applyFont="1" applyBorder="1" applyAlignment="1">
      <alignment horizontal="center" vertical="center"/>
    </xf>
    <xf numFmtId="169" fontId="12" fillId="0" borderId="7" xfId="6" applyNumberFormat="1" applyFont="1" applyBorder="1" applyAlignment="1">
      <alignment horizontal="center" vertical="center"/>
    </xf>
    <xf numFmtId="169" fontId="12" fillId="0" borderId="15" xfId="6" applyNumberFormat="1" applyFont="1" applyBorder="1" applyAlignment="1">
      <alignment horizontal="center" vertical="center"/>
    </xf>
    <xf numFmtId="0" fontId="27" fillId="0" borderId="2" xfId="6" applyFont="1" applyBorder="1" applyAlignment="1">
      <alignment horizontal="center"/>
    </xf>
    <xf numFmtId="0" fontId="28" fillId="0" borderId="9" xfId="0" applyFont="1" applyBorder="1">
      <alignment vertical="center"/>
    </xf>
    <xf numFmtId="0" fontId="12" fillId="3" borderId="8" xfId="6" applyFont="1" applyFill="1" applyBorder="1" applyAlignment="1">
      <alignment horizontal="center" vertical="center" wrapText="1"/>
    </xf>
    <xf numFmtId="0" fontId="12" fillId="3" borderId="7" xfId="6" applyFont="1" applyFill="1" applyBorder="1" applyAlignment="1">
      <alignment horizontal="center" vertical="center" wrapText="1"/>
    </xf>
    <xf numFmtId="0" fontId="12" fillId="3" borderId="15" xfId="6" applyFont="1" applyFill="1" applyBorder="1" applyAlignment="1">
      <alignment horizontal="center" vertical="center" wrapText="1"/>
    </xf>
    <xf numFmtId="0" fontId="12" fillId="0" borderId="8" xfId="6" applyFont="1" applyBorder="1" applyAlignment="1">
      <alignment horizontal="center" vertical="center" wrapText="1"/>
    </xf>
    <xf numFmtId="0" fontId="12" fillId="0" borderId="7" xfId="6" applyFont="1" applyBorder="1" applyAlignment="1">
      <alignment horizontal="center" vertical="center" wrapText="1"/>
    </xf>
    <xf numFmtId="0" fontId="12" fillId="0" borderId="15" xfId="6" applyFont="1" applyBorder="1" applyAlignment="1">
      <alignment horizontal="center" vertical="center" wrapText="1"/>
    </xf>
    <xf numFmtId="0" fontId="12" fillId="0" borderId="27" xfId="6" applyFont="1" applyBorder="1" applyAlignment="1">
      <alignment horizontal="center" vertical="center"/>
    </xf>
    <xf numFmtId="0" fontId="12" fillId="0" borderId="24" xfId="6" applyFont="1" applyBorder="1" applyAlignment="1">
      <alignment horizontal="center" vertical="center"/>
    </xf>
    <xf numFmtId="2" fontId="6" fillId="8" borderId="62" xfId="6" applyNumberFormat="1" applyFont="1" applyFill="1" applyBorder="1" applyAlignment="1">
      <alignment horizontal="center" vertical="center"/>
    </xf>
    <xf numFmtId="2" fontId="6" fillId="8" borderId="16" xfId="6" applyNumberFormat="1" applyFont="1" applyFill="1" applyBorder="1" applyAlignment="1">
      <alignment horizontal="center" vertical="center"/>
    </xf>
    <xf numFmtId="2" fontId="6" fillId="8" borderId="17" xfId="6" applyNumberFormat="1" applyFont="1" applyFill="1" applyBorder="1" applyAlignment="1">
      <alignment horizontal="center" vertical="center"/>
    </xf>
    <xf numFmtId="2" fontId="6" fillId="8" borderId="93" xfId="6" applyNumberFormat="1" applyFont="1" applyFill="1" applyBorder="1" applyAlignment="1">
      <alignment horizontal="center" vertical="center"/>
    </xf>
    <xf numFmtId="2" fontId="6" fillId="8" borderId="0" xfId="6" applyNumberFormat="1" applyFont="1" applyFill="1" applyAlignment="1">
      <alignment horizontal="center" vertical="center"/>
    </xf>
    <xf numFmtId="2" fontId="6" fillId="8" borderId="9" xfId="6" applyNumberFormat="1" applyFont="1" applyFill="1" applyBorder="1" applyAlignment="1">
      <alignment horizontal="center" vertical="center"/>
    </xf>
    <xf numFmtId="49" fontId="8" fillId="0" borderId="30" xfId="6" applyNumberFormat="1" applyFont="1" applyBorder="1" applyAlignment="1">
      <alignment horizontal="center" vertical="center"/>
    </xf>
    <xf numFmtId="168" fontId="12" fillId="3" borderId="8" xfId="6" applyNumberFormat="1" applyFont="1" applyFill="1" applyBorder="1" applyAlignment="1">
      <alignment horizontal="center" vertical="center"/>
    </xf>
    <xf numFmtId="168" fontId="12" fillId="3" borderId="7" xfId="6" applyNumberFormat="1" applyFont="1" applyFill="1" applyBorder="1" applyAlignment="1">
      <alignment horizontal="center" vertical="center"/>
    </xf>
    <xf numFmtId="168" fontId="12" fillId="3" borderId="15" xfId="6" applyNumberFormat="1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/>
    </xf>
    <xf numFmtId="0" fontId="32" fillId="0" borderId="13" xfId="0" applyFont="1" applyBorder="1">
      <alignment vertical="center"/>
    </xf>
    <xf numFmtId="0" fontId="32" fillId="0" borderId="43" xfId="0" applyFont="1" applyBorder="1">
      <alignment vertical="center"/>
    </xf>
    <xf numFmtId="171" fontId="33" fillId="3" borderId="23" xfId="6" applyNumberFormat="1" applyFont="1" applyFill="1" applyBorder="1" applyAlignment="1">
      <alignment horizontal="center" vertical="center"/>
    </xf>
    <xf numFmtId="171" fontId="33" fillId="3" borderId="24" xfId="6" applyNumberFormat="1" applyFont="1" applyFill="1" applyBorder="1" applyAlignment="1">
      <alignment horizontal="center" vertical="center"/>
    </xf>
    <xf numFmtId="171" fontId="33" fillId="3" borderId="25" xfId="6" applyNumberFormat="1" applyFont="1" applyFill="1" applyBorder="1" applyAlignment="1">
      <alignment horizontal="center" vertical="center"/>
    </xf>
    <xf numFmtId="0" fontId="27" fillId="0" borderId="4" xfId="6" applyFont="1" applyBorder="1" applyAlignment="1">
      <alignment horizontal="center" vertical="top"/>
    </xf>
    <xf numFmtId="0" fontId="27" fillId="0" borderId="5" xfId="6" applyFont="1" applyBorder="1" applyAlignment="1">
      <alignment horizontal="center" vertical="top"/>
    </xf>
    <xf numFmtId="0" fontId="27" fillId="0" borderId="6" xfId="6" applyFont="1" applyBorder="1" applyAlignment="1">
      <alignment horizontal="center" vertical="top"/>
    </xf>
    <xf numFmtId="168" fontId="51" fillId="3" borderId="8" xfId="6" applyNumberFormat="1" applyFont="1" applyFill="1" applyBorder="1" applyAlignment="1">
      <alignment horizontal="left" vertical="center"/>
    </xf>
    <xf numFmtId="168" fontId="51" fillId="3" borderId="7" xfId="6" applyNumberFormat="1" applyFont="1" applyFill="1" applyBorder="1" applyAlignment="1">
      <alignment horizontal="left" vertical="center"/>
    </xf>
    <xf numFmtId="0" fontId="10" fillId="2" borderId="1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17" xfId="6" applyFont="1" applyFill="1" applyBorder="1" applyAlignment="1">
      <alignment horizontal="center" vertical="center"/>
    </xf>
    <xf numFmtId="0" fontId="8" fillId="0" borderId="48" xfId="6" applyFont="1" applyBorder="1" applyAlignment="1">
      <alignment horizontal="center" vertical="center"/>
    </xf>
    <xf numFmtId="0" fontId="8" fillId="0" borderId="67" xfId="6" applyFont="1" applyBorder="1" applyAlignment="1">
      <alignment horizontal="center" vertical="center"/>
    </xf>
    <xf numFmtId="0" fontId="8" fillId="0" borderId="71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8" fillId="0" borderId="67" xfId="6" applyFont="1" applyBorder="1" applyAlignment="1">
      <alignment horizontal="center" vertical="center" shrinkToFit="1"/>
    </xf>
    <xf numFmtId="0" fontId="8" fillId="0" borderId="30" xfId="6" applyFont="1" applyBorder="1" applyAlignment="1">
      <alignment horizontal="center" vertical="center" shrinkToFit="1"/>
    </xf>
    <xf numFmtId="41" fontId="41" fillId="3" borderId="101" xfId="1" applyFont="1" applyFill="1" applyBorder="1" applyAlignment="1">
      <alignment vertical="center" wrapText="1"/>
    </xf>
    <xf numFmtId="41" fontId="41" fillId="3" borderId="102" xfId="1" applyFont="1" applyFill="1" applyBorder="1" applyAlignment="1">
      <alignment vertical="center" wrapText="1"/>
    </xf>
    <xf numFmtId="41" fontId="41" fillId="3" borderId="103" xfId="1" applyFont="1" applyFill="1" applyBorder="1" applyAlignment="1">
      <alignment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63" xfId="6" applyFont="1" applyFill="1" applyBorder="1" applyAlignment="1">
      <alignment horizontal="center" vertical="center"/>
    </xf>
    <xf numFmtId="0" fontId="13" fillId="3" borderId="64" xfId="6" applyFont="1" applyFill="1" applyBorder="1" applyAlignment="1">
      <alignment horizontal="center" vertical="center" wrapText="1"/>
    </xf>
    <xf numFmtId="0" fontId="13" fillId="3" borderId="83" xfId="6" applyFont="1" applyFill="1" applyBorder="1" applyAlignment="1">
      <alignment horizontal="center" vertical="center" wrapText="1"/>
    </xf>
    <xf numFmtId="170" fontId="14" fillId="3" borderId="64" xfId="6" applyNumberFormat="1" applyFont="1" applyFill="1" applyBorder="1" applyAlignment="1">
      <alignment horizontal="center" vertical="center" wrapText="1"/>
    </xf>
    <xf numFmtId="167" fontId="14" fillId="12" borderId="104" xfId="6" applyNumberFormat="1" applyFont="1" applyFill="1" applyBorder="1" applyAlignment="1">
      <alignment horizontal="center" vertical="center"/>
    </xf>
    <xf numFmtId="167" fontId="14" fillId="12" borderId="39" xfId="6" applyNumberFormat="1" applyFont="1" applyFill="1" applyBorder="1" applyAlignment="1">
      <alignment horizontal="center" vertical="center"/>
    </xf>
    <xf numFmtId="2" fontId="14" fillId="12" borderId="0" xfId="6" applyNumberFormat="1" applyFont="1" applyFill="1" applyBorder="1" applyAlignment="1">
      <alignment horizontal="left" vertical="center" wrapText="1"/>
    </xf>
    <xf numFmtId="167" fontId="14" fillId="12" borderId="40" xfId="6" applyNumberFormat="1" applyFont="1" applyFill="1" applyBorder="1" applyAlignment="1">
      <alignment horizontal="center" vertical="center"/>
    </xf>
    <xf numFmtId="2" fontId="14" fillId="12" borderId="65" xfId="6" applyNumberFormat="1" applyFont="1" applyFill="1" applyBorder="1" applyAlignment="1">
      <alignment horizontal="left" vertical="center" wrapText="1"/>
    </xf>
    <xf numFmtId="2" fontId="14" fillId="12" borderId="5" xfId="6" applyNumberFormat="1" applyFont="1" applyFill="1" applyBorder="1" applyAlignment="1">
      <alignment horizontal="left" vertical="center" wrapText="1"/>
    </xf>
    <xf numFmtId="2" fontId="14" fillId="12" borderId="6" xfId="6" applyNumberFormat="1" applyFont="1" applyFill="1" applyBorder="1" applyAlignment="1">
      <alignment horizontal="left" vertical="center" wrapText="1"/>
    </xf>
    <xf numFmtId="0" fontId="12" fillId="0" borderId="105" xfId="6" applyFont="1" applyBorder="1" applyAlignment="1">
      <alignment horizontal="center" vertical="center"/>
    </xf>
    <xf numFmtId="0" fontId="12" fillId="0" borderId="106" xfId="6" applyFont="1" applyBorder="1" applyAlignment="1">
      <alignment horizontal="center" vertical="center"/>
    </xf>
    <xf numFmtId="0" fontId="12" fillId="0" borderId="107" xfId="6" applyFont="1" applyBorder="1" applyAlignment="1">
      <alignment horizontal="center" vertical="center"/>
    </xf>
    <xf numFmtId="0" fontId="28" fillId="0" borderId="0" xfId="0" applyFont="1" applyBorder="1">
      <alignment vertical="center"/>
    </xf>
  </cellXfs>
  <cellStyles count="135">
    <cellStyle name="args.style" xfId="108" xr:uid="{00000000-0005-0000-0000-000000000000}"/>
    <cellStyle name="Calc Currency (0)" xfId="109" xr:uid="{00000000-0005-0000-0000-000001000000}"/>
    <cellStyle name="Comma [0] 2" xfId="2" xr:uid="{00000000-0005-0000-0000-000002000000}"/>
    <cellStyle name="Comma [0] 2 2" xfId="134" xr:uid="{85BFE4CF-CF49-45B9-9CA8-95B92F588CE5}"/>
    <cellStyle name="Comma [0] 3" xfId="133" xr:uid="{E346187D-D468-419D-AB4C-87443F0D549C}"/>
    <cellStyle name="Comma 2" xfId="110" xr:uid="{00000000-0005-0000-0000-000003000000}"/>
    <cellStyle name="Comma0" xfId="111" xr:uid="{00000000-0005-0000-0000-000004000000}"/>
    <cellStyle name="Copied" xfId="112" xr:uid="{00000000-0005-0000-0000-000005000000}"/>
    <cellStyle name="Currency 2" xfId="113" xr:uid="{00000000-0005-0000-0000-000006000000}"/>
    <cellStyle name="Currency0" xfId="114" xr:uid="{00000000-0005-0000-0000-000007000000}"/>
    <cellStyle name="Date" xfId="115" xr:uid="{00000000-0005-0000-0000-000008000000}"/>
    <cellStyle name="Entered" xfId="116" xr:uid="{00000000-0005-0000-0000-000009000000}"/>
    <cellStyle name="Fixed" xfId="117" xr:uid="{00000000-0005-0000-0000-00000A000000}"/>
    <cellStyle name="Header1" xfId="118" xr:uid="{00000000-0005-0000-0000-00000B000000}"/>
    <cellStyle name="Header2" xfId="119" xr:uid="{00000000-0005-0000-0000-00000C000000}"/>
    <cellStyle name="HEADINGS" xfId="120" xr:uid="{00000000-0005-0000-0000-00000D000000}"/>
    <cellStyle name="HEADINGSTOP" xfId="121" xr:uid="{00000000-0005-0000-0000-00000E000000}"/>
    <cellStyle name="Normal 2" xfId="3" xr:uid="{00000000-0005-0000-0000-00000F000000}"/>
    <cellStyle name="Normal 2 2" xfId="122" xr:uid="{00000000-0005-0000-0000-000010000000}"/>
    <cellStyle name="Normal 3" xfId="123" xr:uid="{00000000-0005-0000-0000-000011000000}"/>
    <cellStyle name="per.style" xfId="124" xr:uid="{00000000-0005-0000-0000-000012000000}"/>
    <cellStyle name="Percent 2" xfId="125" xr:uid="{00000000-0005-0000-0000-000013000000}"/>
    <cellStyle name="regstoresfromspecstores" xfId="126" xr:uid="{00000000-0005-0000-0000-000015000000}"/>
    <cellStyle name="RevList" xfId="127" xr:uid="{00000000-0005-0000-0000-000016000000}"/>
    <cellStyle name="SHADEDSTORES" xfId="128" xr:uid="{00000000-0005-0000-0000-000017000000}"/>
    <cellStyle name="specstores" xfId="129" xr:uid="{00000000-0005-0000-0000-000018000000}"/>
    <cellStyle name="Subtotal" xfId="130" xr:uid="{00000000-0005-0000-0000-000019000000}"/>
    <cellStyle name="백분율 2" xfId="132" xr:uid="{00000000-0005-0000-0000-00001A000000}"/>
    <cellStyle name="쉼표 [0]" xfId="1" builtinId="6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열어 본 하이퍼링크" xfId="24" builtinId="9" hidden="1"/>
    <cellStyle name="열어 본 하이퍼링크" xfId="26" builtinId="9" hidden="1"/>
    <cellStyle name="열어 본 하이퍼링크" xfId="28" builtinId="9" hidden="1"/>
    <cellStyle name="열어 본 하이퍼링크" xfId="30" builtinId="9" hidden="1"/>
    <cellStyle name="열어 본 하이퍼링크" xfId="32" builtinId="9" hidden="1"/>
    <cellStyle name="열어 본 하이퍼링크" xfId="34" builtinId="9" hidden="1"/>
    <cellStyle name="열어 본 하이퍼링크" xfId="36" builtinId="9" hidden="1"/>
    <cellStyle name="열어 본 하이퍼링크" xfId="38" builtinId="9" hidden="1"/>
    <cellStyle name="열어 본 하이퍼링크" xfId="40" builtinId="9" hidden="1"/>
    <cellStyle name="열어 본 하이퍼링크" xfId="42" builtinId="9" hidden="1"/>
    <cellStyle name="열어 본 하이퍼링크" xfId="44" builtinId="9" hidden="1"/>
    <cellStyle name="열어 본 하이퍼링크" xfId="46" builtinId="9" hidden="1"/>
    <cellStyle name="열어 본 하이퍼링크" xfId="48" builtinId="9" hidden="1"/>
    <cellStyle name="열어 본 하이퍼링크" xfId="50" builtinId="9" hidden="1"/>
    <cellStyle name="열어 본 하이퍼링크" xfId="52" builtinId="9" hidden="1"/>
    <cellStyle name="열어 본 하이퍼링크" xfId="54" builtinId="9" hidden="1"/>
    <cellStyle name="열어 본 하이퍼링크" xfId="56" builtinId="9" hidden="1"/>
    <cellStyle name="열어 본 하이퍼링크" xfId="58" builtinId="9" hidden="1"/>
    <cellStyle name="열어 본 하이퍼링크" xfId="60" builtinId="9" hidden="1"/>
    <cellStyle name="열어 본 하이퍼링크" xfId="62" builtinId="9" hidden="1"/>
    <cellStyle name="열어 본 하이퍼링크" xfId="64" builtinId="9" hidden="1"/>
    <cellStyle name="열어 본 하이퍼링크" xfId="66" builtinId="9" hidden="1"/>
    <cellStyle name="열어 본 하이퍼링크" xfId="68" builtinId="9" hidden="1"/>
    <cellStyle name="열어 본 하이퍼링크" xfId="70" builtinId="9" hidden="1"/>
    <cellStyle name="열어 본 하이퍼링크" xfId="72" builtinId="9" hidden="1"/>
    <cellStyle name="열어 본 하이퍼링크" xfId="74" builtinId="9" hidden="1"/>
    <cellStyle name="열어 본 하이퍼링크" xfId="76" builtinId="9" hidden="1"/>
    <cellStyle name="열어 본 하이퍼링크" xfId="78" builtinId="9" hidden="1"/>
    <cellStyle name="열어 본 하이퍼링크" xfId="80" builtinId="9" hidden="1"/>
    <cellStyle name="열어 본 하이퍼링크" xfId="82" builtinId="9" hidden="1"/>
    <cellStyle name="열어 본 하이퍼링크" xfId="84" builtinId="9" hidden="1"/>
    <cellStyle name="열어 본 하이퍼링크" xfId="86" builtinId="9" hidden="1"/>
    <cellStyle name="열어 본 하이퍼링크" xfId="88" builtinId="9" hidden="1"/>
    <cellStyle name="열어 본 하이퍼링크" xfId="90" builtinId="9" hidden="1"/>
    <cellStyle name="열어 본 하이퍼링크" xfId="92" builtinId="9" hidden="1"/>
    <cellStyle name="열어 본 하이퍼링크" xfId="94" builtinId="9" hidden="1"/>
    <cellStyle name="열어 본 하이퍼링크" xfId="96" builtinId="9" hidden="1"/>
    <cellStyle name="열어 본 하이퍼링크" xfId="98" builtinId="9" hidden="1"/>
    <cellStyle name="열어 본 하이퍼링크" xfId="100" builtinId="9" hidden="1"/>
    <cellStyle name="열어 본 하이퍼링크" xfId="102" builtinId="9" hidden="1"/>
    <cellStyle name="열어 본 하이퍼링크" xfId="104" builtinId="9" hidden="1"/>
    <cellStyle name="열어 본 하이퍼링크" xfId="106" builtinId="9" hidden="1"/>
    <cellStyle name="콤마 [0]_Inspection Request(S.H.INT'L)(fax)" xfId="4" xr:uid="{00000000-0005-0000-0000-00004E000000}"/>
    <cellStyle name="콤마_Inspection Request(S.H.INT'L)(fax)" xfId="5" xr:uid="{00000000-0005-0000-0000-00004F000000}"/>
    <cellStyle name="통화 2" xfId="131" xr:uid="{00000000-0005-0000-0000-000050000000}"/>
    <cellStyle name="표준" xfId="0" builtinId="0"/>
    <cellStyle name="표준 2" xfId="107" xr:uid="{00000000-0005-0000-0000-000052000000}"/>
    <cellStyle name="표준_Subway Vtnam 봉제작지" xfId="6" xr:uid="{00000000-0005-0000-0000-000053000000}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  <cellStyle name="하이퍼링크" xfId="23" builtinId="8" hidden="1"/>
    <cellStyle name="하이퍼링크" xfId="25" builtinId="8" hidden="1"/>
    <cellStyle name="하이퍼링크" xfId="27" builtinId="8" hidden="1"/>
    <cellStyle name="하이퍼링크" xfId="29" builtinId="8" hidden="1"/>
    <cellStyle name="하이퍼링크" xfId="31" builtinId="8" hidden="1"/>
    <cellStyle name="하이퍼링크" xfId="33" builtinId="8" hidden="1"/>
    <cellStyle name="하이퍼링크" xfId="35" builtinId="8" hidden="1"/>
    <cellStyle name="하이퍼링크" xfId="37" builtinId="8" hidden="1"/>
    <cellStyle name="하이퍼링크" xfId="39" builtinId="8" hidden="1"/>
    <cellStyle name="하이퍼링크" xfId="41" builtinId="8" hidden="1"/>
    <cellStyle name="하이퍼링크" xfId="43" builtinId="8" hidden="1"/>
    <cellStyle name="하이퍼링크" xfId="45" builtinId="8" hidden="1"/>
    <cellStyle name="하이퍼링크" xfId="47" builtinId="8" hidden="1"/>
    <cellStyle name="하이퍼링크" xfId="49" builtinId="8" hidden="1"/>
    <cellStyle name="하이퍼링크" xfId="51" builtinId="8" hidden="1"/>
    <cellStyle name="하이퍼링크" xfId="53" builtinId="8" hidden="1"/>
    <cellStyle name="하이퍼링크" xfId="55" builtinId="8" hidden="1"/>
    <cellStyle name="하이퍼링크" xfId="57" builtinId="8" hidden="1"/>
    <cellStyle name="하이퍼링크" xfId="59" builtinId="8" hidden="1"/>
    <cellStyle name="하이퍼링크" xfId="61" builtinId="8" hidden="1"/>
    <cellStyle name="하이퍼링크" xfId="63" builtinId="8" hidden="1"/>
    <cellStyle name="하이퍼링크" xfId="65" builtinId="8" hidden="1"/>
    <cellStyle name="하이퍼링크" xfId="67" builtinId="8" hidden="1"/>
    <cellStyle name="하이퍼링크" xfId="69" builtinId="8" hidden="1"/>
    <cellStyle name="하이퍼링크" xfId="71" builtinId="8" hidden="1"/>
    <cellStyle name="하이퍼링크" xfId="73" builtinId="8" hidden="1"/>
    <cellStyle name="하이퍼링크" xfId="75" builtinId="8" hidden="1"/>
    <cellStyle name="하이퍼링크" xfId="77" builtinId="8" hidden="1"/>
    <cellStyle name="하이퍼링크" xfId="79" builtinId="8" hidden="1"/>
    <cellStyle name="하이퍼링크" xfId="81" builtinId="8" hidden="1"/>
    <cellStyle name="하이퍼링크" xfId="83" builtinId="8" hidden="1"/>
    <cellStyle name="하이퍼링크" xfId="85" builtinId="8" hidden="1"/>
    <cellStyle name="하이퍼링크" xfId="87" builtinId="8" hidden="1"/>
    <cellStyle name="하이퍼링크" xfId="89" builtinId="8" hidden="1"/>
    <cellStyle name="하이퍼링크" xfId="91" builtinId="8" hidden="1"/>
    <cellStyle name="하이퍼링크" xfId="93" builtinId="8" hidden="1"/>
    <cellStyle name="하이퍼링크" xfId="95" builtinId="8" hidden="1"/>
    <cellStyle name="하이퍼링크" xfId="97" builtinId="8" hidden="1"/>
    <cellStyle name="하이퍼링크" xfId="99" builtinId="8" hidden="1"/>
    <cellStyle name="하이퍼링크" xfId="101" builtinId="8" hidden="1"/>
    <cellStyle name="하이퍼링크" xfId="103" builtinId="8" hidden="1"/>
    <cellStyle name="하이퍼링크" xfId="105" builtinId="8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51954</xdr:colOff>
      <xdr:row>84</xdr:row>
      <xdr:rowOff>294409</xdr:rowOff>
    </xdr:from>
    <xdr:to>
      <xdr:col>23</xdr:col>
      <xdr:colOff>1558637</xdr:colOff>
      <xdr:row>88</xdr:row>
      <xdr:rowOff>277091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BF5667-F236-4513-82D7-E37323D35E23}"/>
            </a:ext>
          </a:extLst>
        </xdr:cNvPr>
        <xdr:cNvSpPr txBox="1"/>
      </xdr:nvSpPr>
      <xdr:spPr>
        <a:xfrm>
          <a:off x="25544318" y="30254864"/>
          <a:ext cx="6234546" cy="1298863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POR FAVOR PROCEDER CON LAS TOP Y TESTING LO MAS ANTES POSIBLE PARA TENER ESTAS APROBACIONES LISTAS</a:t>
          </a:r>
          <a:r>
            <a:rPr lang="en-US" sz="1600" b="1" baseline="0">
              <a:solidFill>
                <a:srgbClr val="FF0000"/>
              </a:solidFill>
            </a:rPr>
            <a:t> ANTES DE LA AUDITORIA</a:t>
          </a:r>
          <a:endParaRPr lang="en-US" sz="1600" b="1"/>
        </a:p>
      </xdr:txBody>
    </xdr:sp>
    <xdr:clientData/>
  </xdr:twoCellAnchor>
  <xdr:twoCellAnchor editAs="oneCell">
    <xdr:from>
      <xdr:col>1</xdr:col>
      <xdr:colOff>190502</xdr:colOff>
      <xdr:row>31</xdr:row>
      <xdr:rowOff>190498</xdr:rowOff>
    </xdr:from>
    <xdr:to>
      <xdr:col>8</xdr:col>
      <xdr:colOff>928687</xdr:colOff>
      <xdr:row>52</xdr:row>
      <xdr:rowOff>34636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EF675F-10BB-3546-46E3-C72777D9E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2" y="18790225"/>
          <a:ext cx="12722367" cy="8763002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55</xdr:row>
      <xdr:rowOff>214309</xdr:rowOff>
    </xdr:from>
    <xdr:to>
      <xdr:col>6</xdr:col>
      <xdr:colOff>772214</xdr:colOff>
      <xdr:row>69</xdr:row>
      <xdr:rowOff>331043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CE5ACF-C713-5CF5-F473-3787D3DC8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" y="29003622"/>
          <a:ext cx="8868465" cy="6117485"/>
        </a:xfrm>
        <a:prstGeom prst="rect">
          <a:avLst/>
        </a:prstGeom>
      </xdr:spPr>
    </xdr:pic>
    <xdr:clientData/>
  </xdr:twoCellAnchor>
  <xdr:twoCellAnchor>
    <xdr:from>
      <xdr:col>6</xdr:col>
      <xdr:colOff>1578118</xdr:colOff>
      <xdr:row>52</xdr:row>
      <xdr:rowOff>190499</xdr:rowOff>
    </xdr:from>
    <xdr:to>
      <xdr:col>8</xdr:col>
      <xdr:colOff>1127845</xdr:colOff>
      <xdr:row>60</xdr:row>
      <xdr:rowOff>199148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F26B37-06C1-91D5-D7DA-4A5F36C069CA}"/>
            </a:ext>
          </a:extLst>
        </xdr:cNvPr>
        <xdr:cNvSpPr txBox="1"/>
      </xdr:nvSpPr>
      <xdr:spPr>
        <a:xfrm>
          <a:off x="9769618" y="27503437"/>
          <a:ext cx="3335915" cy="3628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 baseline="0"/>
            <a:t>PARA LOS DETALLES DE HILOS DE COSTURA:</a:t>
          </a:r>
        </a:p>
        <a:p>
          <a:pPr algn="ctr"/>
          <a:r>
            <a:rPr lang="en-US" altLang="ko-KR" sz="2000" b="1" baseline="0"/>
            <a:t>FAVOR DE REVISAR EL DETALLE DE HILO EN EL TRIM CARD, YA QUE CADA LAVADO TIENE USO DE HILO DISTINTO, YA SEA HILO ALGODON O HILO DTM.</a:t>
          </a:r>
        </a:p>
        <a:p>
          <a:pPr algn="ctr"/>
          <a:endParaRPr lang="ko-KR" altLang="en-US" sz="1600" b="1"/>
        </a:p>
      </xdr:txBody>
    </xdr:sp>
    <xdr:clientData/>
  </xdr:twoCellAnchor>
  <xdr:twoCellAnchor editAs="oneCell">
    <xdr:from>
      <xdr:col>1</xdr:col>
      <xdr:colOff>296575</xdr:colOff>
      <xdr:row>85</xdr:row>
      <xdr:rowOff>329044</xdr:rowOff>
    </xdr:from>
    <xdr:to>
      <xdr:col>3</xdr:col>
      <xdr:colOff>1230463</xdr:colOff>
      <xdr:row>89</xdr:row>
      <xdr:rowOff>71439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251BD9A-22F6-116D-626A-25BD29442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575" y="40619794"/>
          <a:ext cx="2838888" cy="1052082"/>
        </a:xfrm>
        <a:prstGeom prst="rect">
          <a:avLst/>
        </a:prstGeom>
      </xdr:spPr>
    </xdr:pic>
    <xdr:clientData/>
  </xdr:twoCellAnchor>
  <xdr:twoCellAnchor>
    <xdr:from>
      <xdr:col>1</xdr:col>
      <xdr:colOff>337703</xdr:colOff>
      <xdr:row>90</xdr:row>
      <xdr:rowOff>32470</xdr:rowOff>
    </xdr:from>
    <xdr:to>
      <xdr:col>3</xdr:col>
      <xdr:colOff>1220930</xdr:colOff>
      <xdr:row>91</xdr:row>
      <xdr:rowOff>307397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723739-DD9B-6DC2-2BB1-7284378AF1A4}"/>
            </a:ext>
          </a:extLst>
        </xdr:cNvPr>
        <xdr:cNvSpPr txBox="1"/>
      </xdr:nvSpPr>
      <xdr:spPr>
        <a:xfrm>
          <a:off x="337703" y="41942470"/>
          <a:ext cx="2788227" cy="584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400" b="1"/>
            <a:t>HEAT TRANSFER</a:t>
          </a:r>
          <a:endParaRPr lang="ko-KR" altLang="en-US" sz="1400" b="1"/>
        </a:p>
      </xdr:txBody>
    </xdr:sp>
    <xdr:clientData/>
  </xdr:twoCellAnchor>
  <xdr:twoCellAnchor>
    <xdr:from>
      <xdr:col>6</xdr:col>
      <xdr:colOff>1591974</xdr:colOff>
      <xdr:row>61</xdr:row>
      <xdr:rowOff>238991</xdr:rowOff>
    </xdr:from>
    <xdr:to>
      <xdr:col>8</xdr:col>
      <xdr:colOff>1141701</xdr:colOff>
      <xdr:row>66</xdr:row>
      <xdr:rowOff>119061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D904590-FFB4-4DF1-9912-1ACD1562D105}"/>
            </a:ext>
          </a:extLst>
        </xdr:cNvPr>
        <xdr:cNvSpPr txBox="1"/>
      </xdr:nvSpPr>
      <xdr:spPr>
        <a:xfrm>
          <a:off x="9783474" y="31885804"/>
          <a:ext cx="3335915" cy="2023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SOLO FAVOR DE PONER TEARWAY (ETIQUETA CON TALLA)</a:t>
          </a:r>
          <a:r>
            <a:rPr lang="en-US" altLang="ko-KR" sz="2000" b="1" baseline="0"/>
            <a:t> A LOS ESTILOS QUE VAN A LAVANDERIA.</a:t>
          </a:r>
          <a:endParaRPr lang="ko-KR" altLang="en-US" sz="2000" b="1"/>
        </a:p>
      </xdr:txBody>
    </xdr:sp>
    <xdr:clientData/>
  </xdr:twoCellAnchor>
  <xdr:twoCellAnchor editAs="oneCell">
    <xdr:from>
      <xdr:col>3</xdr:col>
      <xdr:colOff>1409267</xdr:colOff>
      <xdr:row>85</xdr:row>
      <xdr:rowOff>255444</xdr:rowOff>
    </xdr:from>
    <xdr:to>
      <xdr:col>5</xdr:col>
      <xdr:colOff>1360336</xdr:colOff>
      <xdr:row>89</xdr:row>
      <xdr:rowOff>47626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0E61FA5-B8E4-4558-F3D0-AC505FB9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4267" y="40546194"/>
          <a:ext cx="4237319" cy="1101869"/>
        </a:xfrm>
        <a:prstGeom prst="rect">
          <a:avLst/>
        </a:prstGeom>
      </xdr:spPr>
    </xdr:pic>
    <xdr:clientData/>
  </xdr:twoCellAnchor>
  <xdr:twoCellAnchor>
    <xdr:from>
      <xdr:col>4</xdr:col>
      <xdr:colOff>771523</xdr:colOff>
      <xdr:row>90</xdr:row>
      <xdr:rowOff>5197</xdr:rowOff>
    </xdr:from>
    <xdr:to>
      <xdr:col>5</xdr:col>
      <xdr:colOff>736886</xdr:colOff>
      <xdr:row>92</xdr:row>
      <xdr:rowOff>8661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4DA1409-8A4C-4726-B7F8-65BD45E2666D}"/>
            </a:ext>
          </a:extLst>
        </xdr:cNvPr>
        <xdr:cNvSpPr txBox="1"/>
      </xdr:nvSpPr>
      <xdr:spPr>
        <a:xfrm>
          <a:off x="4105273" y="41915197"/>
          <a:ext cx="2822863" cy="622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400" b="1"/>
            <a:t>CARE</a:t>
          </a:r>
          <a:r>
            <a:rPr lang="en-US" altLang="ko-KR" sz="1400" b="1" baseline="0"/>
            <a:t> LABEL</a:t>
          </a:r>
          <a:endParaRPr lang="ko-KR" altLang="en-US" sz="1400" b="1"/>
        </a:p>
      </xdr:txBody>
    </xdr:sp>
    <xdr:clientData/>
  </xdr:twoCellAnchor>
  <xdr:twoCellAnchor editAs="oneCell">
    <xdr:from>
      <xdr:col>1</xdr:col>
      <xdr:colOff>361519</xdr:colOff>
      <xdr:row>92</xdr:row>
      <xdr:rowOff>97414</xdr:rowOff>
    </xdr:from>
    <xdr:to>
      <xdr:col>3</xdr:col>
      <xdr:colOff>1093513</xdr:colOff>
      <xdr:row>97</xdr:row>
      <xdr:rowOff>23811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7FFA523-23C8-31FE-5ACF-5D04E247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1519" y="42626539"/>
          <a:ext cx="2636994" cy="1474211"/>
        </a:xfrm>
        <a:prstGeom prst="rect">
          <a:avLst/>
        </a:prstGeom>
      </xdr:spPr>
    </xdr:pic>
    <xdr:clientData/>
  </xdr:twoCellAnchor>
  <xdr:twoCellAnchor>
    <xdr:from>
      <xdr:col>1</xdr:col>
      <xdr:colOff>244190</xdr:colOff>
      <xdr:row>97</xdr:row>
      <xdr:rowOff>73167</xdr:rowOff>
    </xdr:from>
    <xdr:to>
      <xdr:col>3</xdr:col>
      <xdr:colOff>1146900</xdr:colOff>
      <xdr:row>99</xdr:row>
      <xdr:rowOff>114732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8610EB-0231-42A3-8584-BB46E007CF8D}"/>
            </a:ext>
          </a:extLst>
        </xdr:cNvPr>
        <xdr:cNvSpPr txBox="1"/>
      </xdr:nvSpPr>
      <xdr:spPr>
        <a:xfrm>
          <a:off x="244190" y="44150105"/>
          <a:ext cx="2807710" cy="660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400" b="1"/>
            <a:t>TRACKING LABEL</a:t>
          </a:r>
          <a:endParaRPr lang="ko-KR" altLang="en-US" sz="1400" b="1"/>
        </a:p>
      </xdr:txBody>
    </xdr:sp>
    <xdr:clientData/>
  </xdr:twoCellAnchor>
  <xdr:twoCellAnchor editAs="oneCell">
    <xdr:from>
      <xdr:col>8</xdr:col>
      <xdr:colOff>1082387</xdr:colOff>
      <xdr:row>86</xdr:row>
      <xdr:rowOff>181841</xdr:rowOff>
    </xdr:from>
    <xdr:to>
      <xdr:col>10</xdr:col>
      <xdr:colOff>778321</xdr:colOff>
      <xdr:row>93</xdr:row>
      <xdr:rowOff>238612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26DA719-CE02-3717-D339-9C9D4D9B5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60075" y="40805966"/>
          <a:ext cx="2148621" cy="2271335"/>
        </a:xfrm>
        <a:prstGeom prst="rect">
          <a:avLst/>
        </a:prstGeom>
      </xdr:spPr>
    </xdr:pic>
    <xdr:clientData/>
  </xdr:twoCellAnchor>
  <xdr:twoCellAnchor>
    <xdr:from>
      <xdr:col>8</xdr:col>
      <xdr:colOff>1215739</xdr:colOff>
      <xdr:row>94</xdr:row>
      <xdr:rowOff>40698</xdr:rowOff>
    </xdr:from>
    <xdr:to>
      <xdr:col>10</xdr:col>
      <xdr:colOff>595312</xdr:colOff>
      <xdr:row>96</xdr:row>
      <xdr:rowOff>44162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D6F8EE1-3D0D-4D5F-B573-4BA46DD8C255}"/>
            </a:ext>
          </a:extLst>
        </xdr:cNvPr>
        <xdr:cNvSpPr txBox="1"/>
      </xdr:nvSpPr>
      <xdr:spPr>
        <a:xfrm>
          <a:off x="13193427" y="43188948"/>
          <a:ext cx="1832260" cy="622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400" b="1"/>
            <a:t>HANG TAG</a:t>
          </a:r>
          <a:endParaRPr lang="ko-KR" altLang="en-US" sz="1400" b="1"/>
        </a:p>
      </xdr:txBody>
    </xdr:sp>
    <xdr:clientData/>
  </xdr:twoCellAnchor>
  <xdr:twoCellAnchor editAs="oneCell">
    <xdr:from>
      <xdr:col>10</xdr:col>
      <xdr:colOff>1093211</xdr:colOff>
      <xdr:row>86</xdr:row>
      <xdr:rowOff>214312</xdr:rowOff>
    </xdr:from>
    <xdr:to>
      <xdr:col>12</xdr:col>
      <xdr:colOff>740447</xdr:colOff>
      <xdr:row>93</xdr:row>
      <xdr:rowOff>231630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2B02F98-02F0-2D54-B42B-26063A7F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3586" y="40838437"/>
          <a:ext cx="2218986" cy="2231882"/>
        </a:xfrm>
        <a:prstGeom prst="rect">
          <a:avLst/>
        </a:prstGeom>
      </xdr:spPr>
    </xdr:pic>
    <xdr:clientData/>
  </xdr:twoCellAnchor>
  <xdr:twoCellAnchor>
    <xdr:from>
      <xdr:col>11</xdr:col>
      <xdr:colOff>19906</xdr:colOff>
      <xdr:row>94</xdr:row>
      <xdr:rowOff>50224</xdr:rowOff>
    </xdr:from>
    <xdr:to>
      <xdr:col>12</xdr:col>
      <xdr:colOff>666740</xdr:colOff>
      <xdr:row>96</xdr:row>
      <xdr:rowOff>53688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16DE3A3-734B-47C4-BC68-B52A09D0CE86}"/>
            </a:ext>
          </a:extLst>
        </xdr:cNvPr>
        <xdr:cNvSpPr txBox="1"/>
      </xdr:nvSpPr>
      <xdr:spPr>
        <a:xfrm>
          <a:off x="15640906" y="43198474"/>
          <a:ext cx="2027959" cy="622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400" b="1"/>
            <a:t>DISCLAIMER HANG</a:t>
          </a:r>
          <a:r>
            <a:rPr lang="en-US" altLang="ko-KR" sz="1400" b="1" baseline="0"/>
            <a:t> TAG (SOLO LAVADOS)</a:t>
          </a:r>
          <a:endParaRPr lang="ko-KR" altLang="en-US" sz="1400" b="1"/>
        </a:p>
      </xdr:txBody>
    </xdr:sp>
    <xdr:clientData/>
  </xdr:twoCellAnchor>
  <xdr:twoCellAnchor editAs="oneCell">
    <xdr:from>
      <xdr:col>7</xdr:col>
      <xdr:colOff>601802</xdr:colOff>
      <xdr:row>86</xdr:row>
      <xdr:rowOff>309563</xdr:rowOff>
    </xdr:from>
    <xdr:to>
      <xdr:col>8</xdr:col>
      <xdr:colOff>255256</xdr:colOff>
      <xdr:row>93</xdr:row>
      <xdr:rowOff>236868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82A9806-F3B9-A024-2884-887EE0B89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55490" y="40933688"/>
          <a:ext cx="1177454" cy="2141869"/>
        </a:xfrm>
        <a:prstGeom prst="rect">
          <a:avLst/>
        </a:prstGeom>
      </xdr:spPr>
    </xdr:pic>
    <xdr:clientData/>
  </xdr:twoCellAnchor>
  <xdr:twoCellAnchor>
    <xdr:from>
      <xdr:col>7</xdr:col>
      <xdr:colOff>341166</xdr:colOff>
      <xdr:row>94</xdr:row>
      <xdr:rowOff>68842</xdr:rowOff>
    </xdr:from>
    <xdr:to>
      <xdr:col>8</xdr:col>
      <xdr:colOff>547682</xdr:colOff>
      <xdr:row>96</xdr:row>
      <xdr:rowOff>72305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CCF2ACD-0354-4849-8BE0-E629FF039DAA}"/>
            </a:ext>
          </a:extLst>
        </xdr:cNvPr>
        <xdr:cNvSpPr txBox="1"/>
      </xdr:nvSpPr>
      <xdr:spPr>
        <a:xfrm>
          <a:off x="10794854" y="43217092"/>
          <a:ext cx="1730516" cy="622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400" b="1"/>
            <a:t>POLY BAG STICKER</a:t>
          </a:r>
          <a:endParaRPr lang="ko-KR" altLang="en-US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mac\Library\Caches\TemporaryItems\Outlook%20Temp\Marlen\team%20# 3 a\&#51333;&#54633; FILE(Extreme)\&#51333;&#54633; WISE(JCP) 903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mac\Library\Caches\TemporaryItems\Outlook%20Temp\Marlen\team%20# 3 a\&#51333;&#54633; FILE(Extreme)\&#51089;&#51648;\GUA-11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COLOR 부속 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요량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F8DB-EBE6-41DE-B996-6FF68E590D78}">
  <sheetPr>
    <pageSetUpPr fitToPage="1"/>
  </sheetPr>
  <dimension ref="A1:X101"/>
  <sheetViews>
    <sheetView showGridLines="0" showZeros="0" tabSelected="1" topLeftCell="B1" zoomScale="40" zoomScaleNormal="40" zoomScaleSheetLayoutView="55" zoomScalePageLayoutView="125" workbookViewId="0">
      <selection activeCell="T33" activeCellId="2" sqref="R33:R34 P33:P34 T33:T34"/>
    </sheetView>
  </sheetViews>
  <sheetFormatPr defaultColWidth="8.6640625" defaultRowHeight="16.5"/>
  <cols>
    <col min="1" max="1" width="15" style="2" hidden="1" customWidth="1"/>
    <col min="2" max="2" width="15.33203125" style="2" customWidth="1"/>
    <col min="3" max="3" width="7" style="1" customWidth="1"/>
    <col min="4" max="4" width="16.77734375" style="1" customWidth="1"/>
    <col min="5" max="5" width="33.21875" style="1" bestFit="1" customWidth="1"/>
    <col min="6" max="6" width="23.44140625" style="1" customWidth="1"/>
    <col min="7" max="7" width="26.33203125" style="1" customWidth="1"/>
    <col min="8" max="8" width="17.77734375" style="2" customWidth="1"/>
    <col min="9" max="9" width="16.109375" style="2" customWidth="1"/>
    <col min="10" max="10" width="12.5546875" style="2" customWidth="1"/>
    <col min="11" max="11" width="14" style="2" customWidth="1"/>
    <col min="12" max="12" width="16.109375" style="2" customWidth="1"/>
    <col min="13" max="13" width="13" style="2" customWidth="1"/>
    <col min="14" max="14" width="13.77734375" style="2" customWidth="1"/>
    <col min="15" max="15" width="14.5546875" style="2" customWidth="1"/>
    <col min="16" max="17" width="17.77734375" style="2" customWidth="1"/>
    <col min="18" max="18" width="22.109375" style="2" customWidth="1"/>
    <col min="19" max="19" width="20.44140625" style="2" bestFit="1" customWidth="1"/>
    <col min="20" max="23" width="17.77734375" style="2" customWidth="1"/>
    <col min="24" max="24" width="18.44140625" style="2" customWidth="1"/>
    <col min="25" max="16384" width="8.6640625" style="2"/>
  </cols>
  <sheetData>
    <row r="1" spans="1:24" ht="73.900000000000006" customHeight="1" thickBot="1">
      <c r="B1" s="317" t="s">
        <v>172</v>
      </c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9"/>
    </row>
    <row r="2" spans="1:24" s="3" customFormat="1" ht="31.9" customHeight="1" thickBot="1">
      <c r="B2" s="22" t="s">
        <v>171</v>
      </c>
      <c r="C2" s="23"/>
      <c r="D2" s="23"/>
      <c r="E2" s="23"/>
      <c r="F2" s="23"/>
      <c r="G2" s="23"/>
      <c r="H2" s="24"/>
      <c r="I2" s="25" t="s">
        <v>7</v>
      </c>
      <c r="J2" s="26"/>
      <c r="K2" s="320">
        <f ca="1">TODAY()</f>
        <v>45965</v>
      </c>
      <c r="L2" s="320"/>
      <c r="M2" s="27"/>
      <c r="N2" s="27"/>
      <c r="O2" s="26"/>
      <c r="P2" s="26"/>
      <c r="Q2" s="27"/>
      <c r="R2" s="27"/>
      <c r="S2" s="27"/>
      <c r="T2" s="27"/>
      <c r="U2" s="27"/>
      <c r="V2" s="28"/>
      <c r="W2" s="27"/>
      <c r="X2" s="29"/>
    </row>
    <row r="3" spans="1:24" s="3" customFormat="1" ht="42.75" customHeight="1">
      <c r="B3" s="21" t="s">
        <v>2</v>
      </c>
      <c r="C3" s="321" t="s">
        <v>3</v>
      </c>
      <c r="D3" s="322"/>
      <c r="E3" s="322"/>
      <c r="F3" s="322"/>
      <c r="G3" s="323" t="s">
        <v>147</v>
      </c>
      <c r="H3" s="324"/>
      <c r="I3" s="324"/>
      <c r="J3" s="325"/>
      <c r="K3" s="326" t="s">
        <v>0</v>
      </c>
      <c r="L3" s="327"/>
      <c r="M3" s="327"/>
      <c r="N3" s="327"/>
      <c r="O3" s="327"/>
      <c r="P3" s="327"/>
      <c r="Q3" s="409" t="s">
        <v>61</v>
      </c>
      <c r="R3" s="410" t="s">
        <v>71</v>
      </c>
      <c r="S3" s="335" t="s">
        <v>138</v>
      </c>
      <c r="T3" s="336"/>
      <c r="U3" s="335" t="s">
        <v>69</v>
      </c>
      <c r="V3" s="336"/>
      <c r="W3" s="335" t="s">
        <v>70</v>
      </c>
      <c r="X3" s="411"/>
    </row>
    <row r="4" spans="1:24" s="3" customFormat="1" ht="42.75" customHeight="1">
      <c r="B4" s="5"/>
      <c r="C4" s="330" t="s">
        <v>16</v>
      </c>
      <c r="D4" s="331"/>
      <c r="E4" s="331"/>
      <c r="F4" s="331"/>
      <c r="G4" s="332" t="s">
        <v>60</v>
      </c>
      <c r="H4" s="333"/>
      <c r="I4" s="333"/>
      <c r="J4" s="334"/>
      <c r="K4" s="6" t="s">
        <v>1</v>
      </c>
      <c r="L4" s="7"/>
      <c r="M4" s="109" t="s">
        <v>148</v>
      </c>
      <c r="N4" s="103"/>
      <c r="O4" s="103"/>
      <c r="P4" s="104"/>
      <c r="Q4" s="328"/>
      <c r="R4" s="346"/>
      <c r="S4" s="337"/>
      <c r="T4" s="343"/>
      <c r="U4" s="337"/>
      <c r="V4" s="343"/>
      <c r="W4" s="337"/>
      <c r="X4" s="338"/>
    </row>
    <row r="5" spans="1:24" s="3" customFormat="1" ht="42.75" customHeight="1">
      <c r="B5" s="349" t="s">
        <v>6</v>
      </c>
      <c r="C5" s="330" t="s">
        <v>15</v>
      </c>
      <c r="D5" s="331"/>
      <c r="E5" s="331"/>
      <c r="F5" s="331"/>
      <c r="G5" s="356">
        <v>1150401</v>
      </c>
      <c r="H5" s="357"/>
      <c r="I5" s="357"/>
      <c r="J5" s="358"/>
      <c r="K5" s="6" t="s">
        <v>57</v>
      </c>
      <c r="L5" s="7"/>
      <c r="M5" s="109" t="s">
        <v>149</v>
      </c>
      <c r="N5" s="100"/>
      <c r="O5" s="100"/>
      <c r="P5" s="100"/>
      <c r="Q5" s="328"/>
      <c r="R5" s="347"/>
      <c r="S5" s="339"/>
      <c r="T5" s="344"/>
      <c r="U5" s="339"/>
      <c r="V5" s="344"/>
      <c r="W5" s="339"/>
      <c r="X5" s="340"/>
    </row>
    <row r="6" spans="1:24" s="3" customFormat="1" ht="42.75" customHeight="1">
      <c r="B6" s="349"/>
      <c r="C6" s="330" t="s">
        <v>54</v>
      </c>
      <c r="D6" s="331"/>
      <c r="E6" s="331"/>
      <c r="F6" s="331"/>
      <c r="G6" s="359" t="s">
        <v>84</v>
      </c>
      <c r="H6" s="360"/>
      <c r="I6" s="360"/>
      <c r="J6" s="361"/>
      <c r="K6" s="8" t="s">
        <v>58</v>
      </c>
      <c r="L6" s="9"/>
      <c r="M6" s="110" t="s">
        <v>163</v>
      </c>
      <c r="N6" s="100"/>
      <c r="O6" s="100"/>
      <c r="P6" s="108"/>
      <c r="Q6" s="329"/>
      <c r="R6" s="348"/>
      <c r="S6" s="341"/>
      <c r="T6" s="345"/>
      <c r="U6" s="341"/>
      <c r="V6" s="345"/>
      <c r="W6" s="341"/>
      <c r="X6" s="342"/>
    </row>
    <row r="7" spans="1:24" s="3" customFormat="1" ht="42.75" customHeight="1">
      <c r="B7" s="349"/>
      <c r="C7" s="330" t="s">
        <v>13</v>
      </c>
      <c r="D7" s="331"/>
      <c r="E7" s="331"/>
      <c r="F7" s="331"/>
      <c r="G7" s="371">
        <v>150</v>
      </c>
      <c r="H7" s="372"/>
      <c r="I7" s="372"/>
      <c r="J7" s="373"/>
      <c r="K7" s="6" t="s">
        <v>65</v>
      </c>
      <c r="L7" s="7"/>
      <c r="M7" s="383">
        <v>150</v>
      </c>
      <c r="N7" s="384"/>
      <c r="O7" s="101"/>
      <c r="P7" s="102"/>
      <c r="Q7" s="374" t="s">
        <v>139</v>
      </c>
      <c r="R7" s="375"/>
      <c r="S7" s="375"/>
      <c r="T7" s="375"/>
      <c r="U7" s="375"/>
      <c r="V7" s="375"/>
      <c r="W7" s="375"/>
      <c r="X7" s="376"/>
    </row>
    <row r="8" spans="1:24" s="3" customFormat="1" ht="42.75" customHeight="1" thickBot="1">
      <c r="B8" s="349"/>
      <c r="C8" s="330" t="s">
        <v>14</v>
      </c>
      <c r="D8" s="331"/>
      <c r="E8" s="331"/>
      <c r="F8" s="331"/>
      <c r="G8" s="351">
        <f>R31</f>
        <v>41444</v>
      </c>
      <c r="H8" s="352"/>
      <c r="I8" s="352"/>
      <c r="J8" s="353"/>
      <c r="K8" s="10" t="s">
        <v>59</v>
      </c>
      <c r="L8" s="4"/>
      <c r="M8" s="105" t="s">
        <v>85</v>
      </c>
      <c r="N8" s="106"/>
      <c r="O8" s="106"/>
      <c r="P8" s="107"/>
      <c r="Q8" s="354" t="s">
        <v>8</v>
      </c>
      <c r="R8" s="412"/>
      <c r="S8" s="412"/>
      <c r="T8" s="412"/>
      <c r="U8" s="412"/>
      <c r="V8" s="412"/>
      <c r="W8" s="412"/>
      <c r="X8" s="355"/>
    </row>
    <row r="9" spans="1:24" s="3" customFormat="1" ht="42.75" customHeight="1" thickBot="1">
      <c r="B9" s="350"/>
      <c r="C9" s="362" t="s">
        <v>55</v>
      </c>
      <c r="D9" s="363"/>
      <c r="E9" s="363"/>
      <c r="F9" s="363"/>
      <c r="G9" s="377">
        <v>46007</v>
      </c>
      <c r="H9" s="378"/>
      <c r="I9" s="378"/>
      <c r="J9" s="379"/>
      <c r="K9" s="10"/>
      <c r="L9" s="4"/>
      <c r="M9" s="105"/>
      <c r="N9" s="106"/>
      <c r="O9" s="106"/>
      <c r="P9" s="107"/>
      <c r="Q9" s="380" t="s">
        <v>9</v>
      </c>
      <c r="R9" s="381"/>
      <c r="S9" s="381"/>
      <c r="T9" s="381"/>
      <c r="U9" s="381"/>
      <c r="V9" s="381"/>
      <c r="W9" s="381"/>
      <c r="X9" s="382"/>
    </row>
    <row r="10" spans="1:24" ht="29.45" customHeight="1" thickBot="1">
      <c r="B10" s="385" t="s">
        <v>17</v>
      </c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386"/>
      <c r="P10" s="386"/>
      <c r="Q10" s="387"/>
      <c r="R10" s="385" t="s">
        <v>18</v>
      </c>
      <c r="S10" s="386"/>
      <c r="T10" s="386"/>
      <c r="U10" s="386"/>
      <c r="V10" s="386"/>
      <c r="W10" s="386"/>
      <c r="X10" s="387"/>
    </row>
    <row r="11" spans="1:24" ht="30" customHeight="1">
      <c r="A11" s="19"/>
      <c r="B11" s="388" t="s">
        <v>11</v>
      </c>
      <c r="C11" s="389"/>
      <c r="D11" s="392" t="s">
        <v>10</v>
      </c>
      <c r="E11" s="147" t="s">
        <v>20</v>
      </c>
      <c r="F11" s="147" t="s">
        <v>140</v>
      </c>
      <c r="G11" s="128" t="s">
        <v>37</v>
      </c>
      <c r="H11" s="128" t="s">
        <v>76</v>
      </c>
      <c r="I11" s="147" t="s">
        <v>4</v>
      </c>
      <c r="J11" s="35" t="s">
        <v>50</v>
      </c>
      <c r="K11" s="56" t="s">
        <v>21</v>
      </c>
      <c r="L11" s="56" t="s">
        <v>22</v>
      </c>
      <c r="M11" s="56" t="s">
        <v>23</v>
      </c>
      <c r="N11" s="56" t="s">
        <v>24</v>
      </c>
      <c r="O11" s="60" t="s">
        <v>77</v>
      </c>
      <c r="P11" s="60" t="s">
        <v>78</v>
      </c>
      <c r="Q11" s="60" t="s">
        <v>79</v>
      </c>
      <c r="R11" s="128" t="s">
        <v>5</v>
      </c>
      <c r="S11" s="130" t="s">
        <v>56</v>
      </c>
      <c r="T11" s="364" t="s">
        <v>169</v>
      </c>
      <c r="U11" s="365"/>
      <c r="V11" s="365"/>
      <c r="W11" s="365"/>
      <c r="X11" s="366"/>
    </row>
    <row r="12" spans="1:24" ht="36.75" customHeight="1" thickBot="1">
      <c r="A12" s="20"/>
      <c r="B12" s="390"/>
      <c r="C12" s="391"/>
      <c r="D12" s="393"/>
      <c r="E12" s="148"/>
      <c r="F12" s="148"/>
      <c r="G12" s="129"/>
      <c r="H12" s="129"/>
      <c r="I12" s="148"/>
      <c r="J12" s="370" t="s">
        <v>19</v>
      </c>
      <c r="K12" s="370"/>
      <c r="L12" s="370"/>
      <c r="M12" s="370"/>
      <c r="N12" s="370"/>
      <c r="O12" s="132" t="s">
        <v>80</v>
      </c>
      <c r="P12" s="133"/>
      <c r="Q12" s="134"/>
      <c r="R12" s="129"/>
      <c r="S12" s="131"/>
      <c r="T12" s="367"/>
      <c r="U12" s="368"/>
      <c r="V12" s="368"/>
      <c r="W12" s="368"/>
      <c r="X12" s="369"/>
    </row>
    <row r="13" spans="1:24" ht="51.6" customHeight="1" thickBot="1">
      <c r="A13" s="20"/>
      <c r="B13" s="137" t="str">
        <f>G3</f>
        <v>256T228-01</v>
      </c>
      <c r="C13" s="138"/>
      <c r="D13" s="141">
        <f>G5</f>
        <v>1150401</v>
      </c>
      <c r="E13" s="143" t="s">
        <v>151</v>
      </c>
      <c r="F13" s="146" t="s">
        <v>62</v>
      </c>
      <c r="G13" s="135" t="s">
        <v>150</v>
      </c>
      <c r="H13" s="115">
        <v>720579</v>
      </c>
      <c r="I13" s="144">
        <f>G9</f>
        <v>46007</v>
      </c>
      <c r="J13" s="111">
        <v>0</v>
      </c>
      <c r="K13" s="111">
        <v>950</v>
      </c>
      <c r="L13" s="111">
        <v>1014</v>
      </c>
      <c r="M13" s="111">
        <v>722</v>
      </c>
      <c r="N13" s="111">
        <v>509</v>
      </c>
      <c r="O13" s="111">
        <v>0</v>
      </c>
      <c r="P13" s="118">
        <v>0</v>
      </c>
      <c r="Q13" s="119">
        <v>0</v>
      </c>
      <c r="R13" s="394">
        <f>SUM(J13:Q13)</f>
        <v>3195</v>
      </c>
      <c r="S13" s="402">
        <v>1.3</v>
      </c>
      <c r="T13" s="149" t="s">
        <v>170</v>
      </c>
      <c r="U13" s="150"/>
      <c r="V13" s="150"/>
      <c r="W13" s="150"/>
      <c r="X13" s="151"/>
    </row>
    <row r="14" spans="1:24" ht="51.6" customHeight="1" thickBot="1">
      <c r="A14" s="20"/>
      <c r="B14" s="139"/>
      <c r="C14" s="140"/>
      <c r="D14" s="142"/>
      <c r="E14" s="143"/>
      <c r="F14" s="146"/>
      <c r="G14" s="136"/>
      <c r="H14" s="116">
        <v>720580</v>
      </c>
      <c r="I14" s="145"/>
      <c r="J14" s="112">
        <v>117</v>
      </c>
      <c r="K14" s="112">
        <v>431</v>
      </c>
      <c r="L14" s="112">
        <v>783</v>
      </c>
      <c r="M14" s="112">
        <v>841</v>
      </c>
      <c r="N14" s="112">
        <v>534</v>
      </c>
      <c r="O14" s="112">
        <v>144</v>
      </c>
      <c r="P14" s="120">
        <v>90</v>
      </c>
      <c r="Q14" s="121">
        <v>60</v>
      </c>
      <c r="R14" s="395">
        <f t="shared" ref="R14:R16" si="0">SUM(J14:Q14)</f>
        <v>3000</v>
      </c>
      <c r="S14" s="403"/>
      <c r="T14" s="152"/>
      <c r="U14" s="404"/>
      <c r="V14" s="404"/>
      <c r="W14" s="404"/>
      <c r="X14" s="153"/>
    </row>
    <row r="15" spans="1:24" ht="51.6" customHeight="1" thickBot="1">
      <c r="A15" s="20"/>
      <c r="B15" s="139"/>
      <c r="C15" s="140"/>
      <c r="D15" s="142"/>
      <c r="E15" s="143" t="s">
        <v>168</v>
      </c>
      <c r="F15" s="146" t="s">
        <v>152</v>
      </c>
      <c r="G15" s="136"/>
      <c r="H15" s="117">
        <v>720571</v>
      </c>
      <c r="I15" s="145"/>
      <c r="J15" s="113">
        <v>0</v>
      </c>
      <c r="K15" s="113">
        <v>760</v>
      </c>
      <c r="L15" s="113">
        <v>811</v>
      </c>
      <c r="M15" s="113">
        <v>577</v>
      </c>
      <c r="N15" s="113">
        <v>432</v>
      </c>
      <c r="O15" s="113">
        <v>0</v>
      </c>
      <c r="P15" s="122">
        <v>0</v>
      </c>
      <c r="Q15" s="123">
        <v>0</v>
      </c>
      <c r="R15" s="396">
        <f t="shared" si="0"/>
        <v>2580</v>
      </c>
      <c r="S15" s="403"/>
      <c r="T15" s="152"/>
      <c r="U15" s="404"/>
      <c r="V15" s="404"/>
      <c r="W15" s="404"/>
      <c r="X15" s="153"/>
    </row>
    <row r="16" spans="1:24" ht="51.6" customHeight="1" thickBot="1">
      <c r="A16" s="20"/>
      <c r="B16" s="139"/>
      <c r="C16" s="140"/>
      <c r="D16" s="142"/>
      <c r="E16" s="143"/>
      <c r="F16" s="146"/>
      <c r="G16" s="136"/>
      <c r="H16" s="116">
        <v>720572</v>
      </c>
      <c r="I16" s="145"/>
      <c r="J16" s="112">
        <v>68</v>
      </c>
      <c r="K16" s="112">
        <v>244</v>
      </c>
      <c r="L16" s="112">
        <v>443</v>
      </c>
      <c r="M16" s="112">
        <v>476</v>
      </c>
      <c r="N16" s="112">
        <v>302</v>
      </c>
      <c r="O16" s="112">
        <v>82</v>
      </c>
      <c r="P16" s="120">
        <v>51</v>
      </c>
      <c r="Q16" s="121">
        <v>34</v>
      </c>
      <c r="R16" s="395">
        <f t="shared" si="0"/>
        <v>1700</v>
      </c>
      <c r="S16" s="403"/>
      <c r="T16" s="152"/>
      <c r="U16" s="404"/>
      <c r="V16" s="404"/>
      <c r="W16" s="404"/>
      <c r="X16" s="153"/>
    </row>
    <row r="17" spans="1:24" ht="51.6" customHeight="1" thickBot="1">
      <c r="A17" s="20"/>
      <c r="B17" s="139"/>
      <c r="C17" s="140"/>
      <c r="D17" s="142"/>
      <c r="E17" s="143" t="s">
        <v>167</v>
      </c>
      <c r="F17" s="146" t="s">
        <v>145</v>
      </c>
      <c r="G17" s="136"/>
      <c r="H17" s="115">
        <v>720583</v>
      </c>
      <c r="I17" s="145"/>
      <c r="J17" s="111">
        <v>0</v>
      </c>
      <c r="K17" s="111">
        <v>769</v>
      </c>
      <c r="L17" s="111">
        <v>820</v>
      </c>
      <c r="M17" s="111">
        <v>584</v>
      </c>
      <c r="N17" s="111">
        <v>463</v>
      </c>
      <c r="O17" s="111">
        <v>0</v>
      </c>
      <c r="P17" s="118">
        <v>0</v>
      </c>
      <c r="Q17" s="119">
        <v>0</v>
      </c>
      <c r="R17" s="394">
        <f>SUM(J17:Q17)</f>
        <v>2636</v>
      </c>
      <c r="S17" s="403"/>
      <c r="T17" s="152"/>
      <c r="U17" s="404"/>
      <c r="V17" s="404"/>
      <c r="W17" s="404"/>
      <c r="X17" s="153"/>
    </row>
    <row r="18" spans="1:24" ht="51.6" customHeight="1" thickBot="1">
      <c r="A18" s="20"/>
      <c r="B18" s="139"/>
      <c r="C18" s="140"/>
      <c r="D18" s="142"/>
      <c r="E18" s="143"/>
      <c r="F18" s="146"/>
      <c r="G18" s="136"/>
      <c r="H18" s="116">
        <v>720584</v>
      </c>
      <c r="I18" s="145"/>
      <c r="J18" s="112">
        <v>114</v>
      </c>
      <c r="K18" s="112">
        <v>327</v>
      </c>
      <c r="L18" s="112">
        <v>594</v>
      </c>
      <c r="M18" s="112">
        <v>638</v>
      </c>
      <c r="N18" s="112">
        <v>405</v>
      </c>
      <c r="O18" s="112">
        <v>109</v>
      </c>
      <c r="P18" s="120">
        <v>68</v>
      </c>
      <c r="Q18" s="121">
        <v>45</v>
      </c>
      <c r="R18" s="395">
        <f t="shared" ref="R18:R20" si="1">SUM(J18:Q18)</f>
        <v>2300</v>
      </c>
      <c r="S18" s="403"/>
      <c r="T18" s="152"/>
      <c r="U18" s="404"/>
      <c r="V18" s="404"/>
      <c r="W18" s="404"/>
      <c r="X18" s="153"/>
    </row>
    <row r="19" spans="1:24" ht="51.6" customHeight="1" thickBot="1">
      <c r="A19" s="20"/>
      <c r="B19" s="139"/>
      <c r="C19" s="140"/>
      <c r="D19" s="142"/>
      <c r="E19" s="143" t="s">
        <v>166</v>
      </c>
      <c r="F19" s="146" t="s">
        <v>145</v>
      </c>
      <c r="G19" s="136"/>
      <c r="H19" s="117">
        <v>720581</v>
      </c>
      <c r="I19" s="145"/>
      <c r="J19" s="113">
        <v>0</v>
      </c>
      <c r="K19" s="113">
        <v>744</v>
      </c>
      <c r="L19" s="113">
        <v>793</v>
      </c>
      <c r="M19" s="113">
        <v>565</v>
      </c>
      <c r="N19" s="113">
        <v>398</v>
      </c>
      <c r="O19" s="113">
        <v>0</v>
      </c>
      <c r="P19" s="122">
        <v>0</v>
      </c>
      <c r="Q19" s="123">
        <v>0</v>
      </c>
      <c r="R19" s="396">
        <f t="shared" si="1"/>
        <v>2500</v>
      </c>
      <c r="S19" s="403"/>
      <c r="T19" s="152"/>
      <c r="U19" s="404"/>
      <c r="V19" s="404"/>
      <c r="W19" s="404"/>
      <c r="X19" s="153"/>
    </row>
    <row r="20" spans="1:24" ht="51.6" customHeight="1" thickBot="1">
      <c r="A20" s="20"/>
      <c r="B20" s="139"/>
      <c r="C20" s="140"/>
      <c r="D20" s="142"/>
      <c r="E20" s="143"/>
      <c r="F20" s="146"/>
      <c r="G20" s="136"/>
      <c r="H20" s="116">
        <v>720582</v>
      </c>
      <c r="I20" s="145"/>
      <c r="J20" s="112">
        <v>76</v>
      </c>
      <c r="K20" s="112">
        <v>273</v>
      </c>
      <c r="L20" s="112">
        <v>495</v>
      </c>
      <c r="M20" s="112">
        <v>532</v>
      </c>
      <c r="N20" s="112">
        <v>338</v>
      </c>
      <c r="O20" s="112">
        <v>91</v>
      </c>
      <c r="P20" s="120">
        <v>57</v>
      </c>
      <c r="Q20" s="121">
        <v>38</v>
      </c>
      <c r="R20" s="395">
        <f t="shared" si="1"/>
        <v>1900</v>
      </c>
      <c r="S20" s="403"/>
      <c r="T20" s="152"/>
      <c r="U20" s="404"/>
      <c r="V20" s="404"/>
      <c r="W20" s="404"/>
      <c r="X20" s="153"/>
    </row>
    <row r="21" spans="1:24" ht="51.6" customHeight="1" thickBot="1">
      <c r="A21" s="20"/>
      <c r="B21" s="139"/>
      <c r="C21" s="140"/>
      <c r="D21" s="142"/>
      <c r="E21" s="143" t="s">
        <v>165</v>
      </c>
      <c r="F21" s="146" t="s">
        <v>145</v>
      </c>
      <c r="G21" s="136"/>
      <c r="H21" s="115">
        <v>720540</v>
      </c>
      <c r="I21" s="145"/>
      <c r="J21" s="111">
        <v>0</v>
      </c>
      <c r="K21" s="111">
        <v>725</v>
      </c>
      <c r="L21" s="111">
        <v>774</v>
      </c>
      <c r="M21" s="111">
        <v>551</v>
      </c>
      <c r="N21" s="111">
        <v>486</v>
      </c>
      <c r="O21" s="111">
        <v>0</v>
      </c>
      <c r="P21" s="118">
        <v>0</v>
      </c>
      <c r="Q21" s="119">
        <v>0</v>
      </c>
      <c r="R21" s="394">
        <f>SUM(J21:Q21)</f>
        <v>2536</v>
      </c>
      <c r="S21" s="403"/>
      <c r="T21" s="152"/>
      <c r="U21" s="404"/>
      <c r="V21" s="404"/>
      <c r="W21" s="404"/>
      <c r="X21" s="153"/>
    </row>
    <row r="22" spans="1:24" ht="51.6" customHeight="1" thickBot="1">
      <c r="A22" s="20"/>
      <c r="B22" s="139"/>
      <c r="C22" s="140"/>
      <c r="D22" s="142"/>
      <c r="E22" s="143"/>
      <c r="F22" s="146"/>
      <c r="G22" s="136"/>
      <c r="H22" s="116">
        <v>720541</v>
      </c>
      <c r="I22" s="145"/>
      <c r="J22" s="112">
        <v>88</v>
      </c>
      <c r="K22" s="112">
        <v>316</v>
      </c>
      <c r="L22" s="112">
        <v>573</v>
      </c>
      <c r="M22" s="112">
        <v>616</v>
      </c>
      <c r="N22" s="112">
        <v>391</v>
      </c>
      <c r="O22" s="112">
        <v>106</v>
      </c>
      <c r="P22" s="120">
        <v>66</v>
      </c>
      <c r="Q22" s="121">
        <v>44</v>
      </c>
      <c r="R22" s="395">
        <f t="shared" ref="R22:R24" si="2">SUM(J22:Q22)</f>
        <v>2200</v>
      </c>
      <c r="S22" s="403"/>
      <c r="T22" s="152"/>
      <c r="U22" s="404"/>
      <c r="V22" s="404"/>
      <c r="W22" s="404"/>
      <c r="X22" s="153"/>
    </row>
    <row r="23" spans="1:24" ht="51.6" customHeight="1" thickBot="1">
      <c r="A23" s="20"/>
      <c r="B23" s="139"/>
      <c r="C23" s="140"/>
      <c r="D23" s="142"/>
      <c r="E23" s="143" t="s">
        <v>153</v>
      </c>
      <c r="F23" s="146" t="s">
        <v>144</v>
      </c>
      <c r="G23" s="136"/>
      <c r="H23" s="117">
        <v>720575</v>
      </c>
      <c r="I23" s="145"/>
      <c r="J23" s="113">
        <v>0</v>
      </c>
      <c r="K23" s="113">
        <v>762</v>
      </c>
      <c r="L23" s="113">
        <v>813</v>
      </c>
      <c r="M23" s="113">
        <v>579</v>
      </c>
      <c r="N23" s="113">
        <v>485</v>
      </c>
      <c r="O23" s="113">
        <v>0</v>
      </c>
      <c r="P23" s="122">
        <v>0</v>
      </c>
      <c r="Q23" s="123">
        <v>0</v>
      </c>
      <c r="R23" s="396">
        <f t="shared" si="2"/>
        <v>2639</v>
      </c>
      <c r="S23" s="403"/>
      <c r="T23" s="152"/>
      <c r="U23" s="404"/>
      <c r="V23" s="404"/>
      <c r="W23" s="404"/>
      <c r="X23" s="153"/>
    </row>
    <row r="24" spans="1:24" ht="51.6" customHeight="1" thickBot="1">
      <c r="A24" s="20"/>
      <c r="B24" s="139"/>
      <c r="C24" s="140"/>
      <c r="D24" s="142"/>
      <c r="E24" s="143"/>
      <c r="F24" s="146"/>
      <c r="G24" s="136"/>
      <c r="H24" s="116">
        <v>720576</v>
      </c>
      <c r="I24" s="145"/>
      <c r="J24" s="112">
        <v>158</v>
      </c>
      <c r="K24" s="112">
        <v>455</v>
      </c>
      <c r="L24" s="112">
        <v>826</v>
      </c>
      <c r="M24" s="112">
        <v>887</v>
      </c>
      <c r="N24" s="112">
        <v>564</v>
      </c>
      <c r="O24" s="112">
        <v>152</v>
      </c>
      <c r="P24" s="120">
        <v>95</v>
      </c>
      <c r="Q24" s="121">
        <v>63</v>
      </c>
      <c r="R24" s="395">
        <f t="shared" si="2"/>
        <v>3200</v>
      </c>
      <c r="S24" s="403"/>
      <c r="T24" s="152"/>
      <c r="U24" s="404"/>
      <c r="V24" s="404"/>
      <c r="W24" s="404"/>
      <c r="X24" s="153"/>
    </row>
    <row r="25" spans="1:24" ht="51.6" customHeight="1" thickBot="1">
      <c r="A25" s="20"/>
      <c r="B25" s="139"/>
      <c r="C25" s="140"/>
      <c r="D25" s="142"/>
      <c r="E25" s="143" t="s">
        <v>154</v>
      </c>
      <c r="F25" s="146" t="s">
        <v>144</v>
      </c>
      <c r="G25" s="136"/>
      <c r="H25" s="117">
        <v>720577</v>
      </c>
      <c r="I25" s="145"/>
      <c r="J25" s="113">
        <v>0</v>
      </c>
      <c r="K25" s="113">
        <v>762</v>
      </c>
      <c r="L25" s="113">
        <v>813</v>
      </c>
      <c r="M25" s="113">
        <v>579</v>
      </c>
      <c r="N25" s="113">
        <v>485</v>
      </c>
      <c r="O25" s="113">
        <v>0</v>
      </c>
      <c r="P25" s="122">
        <v>0</v>
      </c>
      <c r="Q25" s="123">
        <v>0</v>
      </c>
      <c r="R25" s="396">
        <f t="shared" ref="R25:R28" si="3">SUM(J25:Q25)</f>
        <v>2639</v>
      </c>
      <c r="S25" s="403"/>
      <c r="T25" s="152"/>
      <c r="U25" s="404"/>
      <c r="V25" s="404"/>
      <c r="W25" s="404"/>
      <c r="X25" s="153"/>
    </row>
    <row r="26" spans="1:24" ht="51.6" customHeight="1" thickBot="1">
      <c r="A26" s="20"/>
      <c r="B26" s="139"/>
      <c r="C26" s="140"/>
      <c r="D26" s="142"/>
      <c r="E26" s="143"/>
      <c r="F26" s="146"/>
      <c r="G26" s="136"/>
      <c r="H26" s="116">
        <v>720578</v>
      </c>
      <c r="I26" s="145"/>
      <c r="J26" s="112">
        <v>158</v>
      </c>
      <c r="K26" s="112">
        <v>455</v>
      </c>
      <c r="L26" s="112">
        <v>826</v>
      </c>
      <c r="M26" s="112">
        <v>887</v>
      </c>
      <c r="N26" s="112">
        <v>564</v>
      </c>
      <c r="O26" s="112">
        <v>152</v>
      </c>
      <c r="P26" s="120">
        <v>95</v>
      </c>
      <c r="Q26" s="121">
        <v>63</v>
      </c>
      <c r="R26" s="395">
        <f t="shared" si="3"/>
        <v>3200</v>
      </c>
      <c r="S26" s="403"/>
      <c r="T26" s="152"/>
      <c r="U26" s="404"/>
      <c r="V26" s="404"/>
      <c r="W26" s="404"/>
      <c r="X26" s="153"/>
    </row>
    <row r="27" spans="1:24" ht="51.6" customHeight="1" thickBot="1">
      <c r="A27" s="20"/>
      <c r="B27" s="139"/>
      <c r="C27" s="140"/>
      <c r="D27" s="142"/>
      <c r="E27" s="143" t="s">
        <v>155</v>
      </c>
      <c r="F27" s="146" t="s">
        <v>156</v>
      </c>
      <c r="G27" s="136"/>
      <c r="H27" s="117">
        <v>720573</v>
      </c>
      <c r="I27" s="145"/>
      <c r="J27" s="113">
        <v>0</v>
      </c>
      <c r="K27" s="113">
        <v>138</v>
      </c>
      <c r="L27" s="113">
        <v>148</v>
      </c>
      <c r="M27" s="113">
        <v>105</v>
      </c>
      <c r="N27" s="113">
        <v>79</v>
      </c>
      <c r="O27" s="113">
        <v>0</v>
      </c>
      <c r="P27" s="122">
        <v>0</v>
      </c>
      <c r="Q27" s="123">
        <v>0</v>
      </c>
      <c r="R27" s="396">
        <f t="shared" si="3"/>
        <v>470</v>
      </c>
      <c r="S27" s="403"/>
      <c r="T27" s="152"/>
      <c r="U27" s="404"/>
      <c r="V27" s="404"/>
      <c r="W27" s="404"/>
      <c r="X27" s="153"/>
    </row>
    <row r="28" spans="1:24" ht="51.6" customHeight="1" thickBot="1">
      <c r="A28" s="20"/>
      <c r="B28" s="139"/>
      <c r="C28" s="140"/>
      <c r="D28" s="142"/>
      <c r="E28" s="143"/>
      <c r="F28" s="146"/>
      <c r="G28" s="136"/>
      <c r="H28" s="116">
        <v>720574</v>
      </c>
      <c r="I28" s="145"/>
      <c r="J28" s="112">
        <v>90</v>
      </c>
      <c r="K28" s="112">
        <v>308</v>
      </c>
      <c r="L28" s="112">
        <v>559</v>
      </c>
      <c r="M28" s="112">
        <v>601</v>
      </c>
      <c r="N28" s="112">
        <v>382</v>
      </c>
      <c r="O28" s="112">
        <v>103</v>
      </c>
      <c r="P28" s="120">
        <v>64</v>
      </c>
      <c r="Q28" s="121">
        <v>43</v>
      </c>
      <c r="R28" s="395">
        <f t="shared" si="3"/>
        <v>2150</v>
      </c>
      <c r="S28" s="403"/>
      <c r="T28" s="152"/>
      <c r="U28" s="404"/>
      <c r="V28" s="404"/>
      <c r="W28" s="404"/>
      <c r="X28" s="153"/>
    </row>
    <row r="29" spans="1:24" ht="51.6" customHeight="1" thickBot="1">
      <c r="A29" s="20"/>
      <c r="B29" s="139"/>
      <c r="C29" s="140"/>
      <c r="D29" s="142"/>
      <c r="E29" s="143" t="s">
        <v>164</v>
      </c>
      <c r="F29" s="146" t="s">
        <v>157</v>
      </c>
      <c r="G29" s="136"/>
      <c r="H29" s="117">
        <v>720542</v>
      </c>
      <c r="I29" s="145"/>
      <c r="J29" s="113">
        <v>0</v>
      </c>
      <c r="K29" s="113">
        <v>137</v>
      </c>
      <c r="L29" s="113">
        <v>146</v>
      </c>
      <c r="M29" s="113">
        <v>104</v>
      </c>
      <c r="N29" s="113">
        <v>78</v>
      </c>
      <c r="O29" s="113">
        <v>0</v>
      </c>
      <c r="P29" s="122">
        <v>0</v>
      </c>
      <c r="Q29" s="123">
        <v>0</v>
      </c>
      <c r="R29" s="396">
        <f t="shared" ref="R29:R30" si="4">SUM(J29:Q29)</f>
        <v>465</v>
      </c>
      <c r="S29" s="403"/>
      <c r="T29" s="152"/>
      <c r="U29" s="404"/>
      <c r="V29" s="404"/>
      <c r="W29" s="404"/>
      <c r="X29" s="153"/>
    </row>
    <row r="30" spans="1:24" ht="51.6" customHeight="1" thickBot="1">
      <c r="A30" s="20"/>
      <c r="B30" s="397"/>
      <c r="C30" s="398"/>
      <c r="D30" s="399"/>
      <c r="E30" s="143"/>
      <c r="F30" s="146"/>
      <c r="G30" s="400"/>
      <c r="H30" s="116">
        <v>720543</v>
      </c>
      <c r="I30" s="401"/>
      <c r="J30" s="112">
        <v>85</v>
      </c>
      <c r="K30" s="112">
        <v>306</v>
      </c>
      <c r="L30" s="112">
        <v>556</v>
      </c>
      <c r="M30" s="112">
        <v>598</v>
      </c>
      <c r="N30" s="112">
        <v>380</v>
      </c>
      <c r="O30" s="112">
        <v>103</v>
      </c>
      <c r="P30" s="120">
        <v>64</v>
      </c>
      <c r="Q30" s="121">
        <v>42</v>
      </c>
      <c r="R30" s="395">
        <f t="shared" si="4"/>
        <v>2134</v>
      </c>
      <c r="S30" s="405"/>
      <c r="T30" s="406"/>
      <c r="U30" s="407"/>
      <c r="V30" s="407"/>
      <c r="W30" s="407"/>
      <c r="X30" s="408"/>
    </row>
    <row r="31" spans="1:24" ht="60.6" customHeight="1" thickBot="1">
      <c r="A31" s="30"/>
      <c r="B31" s="124"/>
      <c r="C31" s="125"/>
      <c r="D31" s="125"/>
      <c r="E31" s="125"/>
      <c r="F31" s="125"/>
      <c r="G31" s="125"/>
      <c r="H31" s="125"/>
      <c r="I31" s="125"/>
      <c r="J31" s="114">
        <f t="shared" ref="J31:R31" si="5">SUM(J13:J30)</f>
        <v>954</v>
      </c>
      <c r="K31" s="114">
        <f t="shared" si="5"/>
        <v>8862</v>
      </c>
      <c r="L31" s="114">
        <f t="shared" si="5"/>
        <v>11787</v>
      </c>
      <c r="M31" s="114">
        <f t="shared" si="5"/>
        <v>10442</v>
      </c>
      <c r="N31" s="114">
        <f t="shared" si="5"/>
        <v>7275</v>
      </c>
      <c r="O31" s="114">
        <f t="shared" si="5"/>
        <v>1042</v>
      </c>
      <c r="P31" s="114">
        <f t="shared" si="5"/>
        <v>650</v>
      </c>
      <c r="Q31" s="114">
        <f t="shared" si="5"/>
        <v>432</v>
      </c>
      <c r="R31" s="94">
        <f t="shared" si="5"/>
        <v>41444</v>
      </c>
      <c r="S31" s="95">
        <f>S13*R31</f>
        <v>53877.200000000004</v>
      </c>
      <c r="T31" s="126">
        <f>S31</f>
        <v>53877.200000000004</v>
      </c>
      <c r="U31" s="126"/>
      <c r="V31" s="126"/>
      <c r="W31" s="126"/>
      <c r="X31" s="127"/>
    </row>
    <row r="32" spans="1:24" ht="45.6" customHeight="1" thickBot="1">
      <c r="B32" s="299"/>
      <c r="C32" s="300"/>
      <c r="D32" s="300"/>
      <c r="E32" s="300"/>
      <c r="F32" s="300"/>
      <c r="G32" s="300"/>
      <c r="H32" s="300"/>
      <c r="I32" s="300"/>
      <c r="J32" s="311" t="s">
        <v>12</v>
      </c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3"/>
    </row>
    <row r="33" spans="2:24" ht="18" customHeight="1">
      <c r="B33" s="301"/>
      <c r="C33" s="302"/>
      <c r="D33" s="302"/>
      <c r="E33" s="302"/>
      <c r="F33" s="302"/>
      <c r="G33" s="302"/>
      <c r="H33" s="302"/>
      <c r="I33" s="302"/>
      <c r="J33" s="305" t="s">
        <v>25</v>
      </c>
      <c r="K33" s="306"/>
      <c r="L33" s="306"/>
      <c r="M33" s="306"/>
      <c r="N33" s="306"/>
      <c r="O33" s="307"/>
      <c r="P33" s="297" t="s">
        <v>50</v>
      </c>
      <c r="Q33" s="292" t="s">
        <v>44</v>
      </c>
      <c r="R33" s="292" t="s">
        <v>45</v>
      </c>
      <c r="S33" s="286" t="s">
        <v>46</v>
      </c>
      <c r="T33" s="286" t="s">
        <v>47</v>
      </c>
      <c r="U33" s="286" t="s">
        <v>77</v>
      </c>
      <c r="V33" s="286" t="s">
        <v>78</v>
      </c>
      <c r="W33" s="288" t="s">
        <v>79</v>
      </c>
      <c r="X33" s="290" t="s">
        <v>26</v>
      </c>
    </row>
    <row r="34" spans="2:24" ht="25.5" customHeight="1">
      <c r="B34" s="301"/>
      <c r="C34" s="302"/>
      <c r="D34" s="302"/>
      <c r="E34" s="302"/>
      <c r="F34" s="302"/>
      <c r="G34" s="302"/>
      <c r="H34" s="302"/>
      <c r="I34" s="302"/>
      <c r="J34" s="308"/>
      <c r="K34" s="309"/>
      <c r="L34" s="309"/>
      <c r="M34" s="309"/>
      <c r="N34" s="309"/>
      <c r="O34" s="310"/>
      <c r="P34" s="298"/>
      <c r="Q34" s="287"/>
      <c r="R34" s="287"/>
      <c r="S34" s="287"/>
      <c r="T34" s="287"/>
      <c r="U34" s="287"/>
      <c r="V34" s="287"/>
      <c r="W34" s="289"/>
      <c r="X34" s="291"/>
    </row>
    <row r="35" spans="2:24" ht="34.5" customHeight="1">
      <c r="B35" s="301"/>
      <c r="C35" s="302"/>
      <c r="D35" s="302"/>
      <c r="E35" s="302"/>
      <c r="F35" s="302"/>
      <c r="G35" s="302"/>
      <c r="H35" s="302"/>
      <c r="I35" s="302"/>
      <c r="J35" s="314" t="s">
        <v>75</v>
      </c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6"/>
    </row>
    <row r="36" spans="2:24" ht="34.5" customHeight="1">
      <c r="B36" s="301"/>
      <c r="C36" s="302"/>
      <c r="D36" s="302"/>
      <c r="E36" s="302"/>
      <c r="F36" s="302"/>
      <c r="G36" s="302"/>
      <c r="H36" s="302"/>
      <c r="I36" s="302"/>
      <c r="J36" s="92"/>
      <c r="K36" s="65" t="s">
        <v>158</v>
      </c>
      <c r="L36" s="66"/>
      <c r="M36" s="67"/>
      <c r="N36" s="67"/>
      <c r="O36" s="67"/>
      <c r="P36" s="34"/>
      <c r="Q36" s="34"/>
      <c r="R36" s="34"/>
      <c r="S36" s="68"/>
      <c r="T36" s="68"/>
      <c r="U36" s="68"/>
      <c r="V36" s="68"/>
      <c r="W36" s="31"/>
      <c r="X36" s="69"/>
    </row>
    <row r="37" spans="2:24" ht="34.5" customHeight="1">
      <c r="B37" s="301"/>
      <c r="C37" s="302"/>
      <c r="D37" s="302"/>
      <c r="E37" s="302"/>
      <c r="F37" s="302"/>
      <c r="G37" s="302"/>
      <c r="H37" s="302"/>
      <c r="I37" s="302"/>
      <c r="J37" s="72" t="s">
        <v>86</v>
      </c>
      <c r="K37" s="86" t="s">
        <v>108</v>
      </c>
      <c r="L37" s="73"/>
      <c r="M37" s="75"/>
      <c r="N37" s="73"/>
      <c r="O37" s="83"/>
      <c r="P37" s="81">
        <v>0.5</v>
      </c>
      <c r="Q37" s="81">
        <v>0.5</v>
      </c>
      <c r="R37" s="81">
        <v>0.5</v>
      </c>
      <c r="S37" s="81">
        <v>0.5</v>
      </c>
      <c r="T37" s="81">
        <v>0.5</v>
      </c>
      <c r="U37" s="81">
        <v>0.5</v>
      </c>
      <c r="V37" s="81">
        <v>0.5</v>
      </c>
      <c r="W37" s="81">
        <v>0.5</v>
      </c>
      <c r="X37" s="82">
        <v>0.125</v>
      </c>
    </row>
    <row r="38" spans="2:24" ht="34.5" customHeight="1">
      <c r="B38" s="301"/>
      <c r="C38" s="302"/>
      <c r="D38" s="302"/>
      <c r="E38" s="302"/>
      <c r="F38" s="302"/>
      <c r="G38" s="302"/>
      <c r="H38" s="302"/>
      <c r="I38" s="302"/>
      <c r="J38" s="72" t="s">
        <v>87</v>
      </c>
      <c r="K38" s="86" t="s">
        <v>109</v>
      </c>
      <c r="L38" s="73"/>
      <c r="M38" s="75"/>
      <c r="N38" s="75"/>
      <c r="O38" s="83"/>
      <c r="P38" s="81">
        <v>1.25</v>
      </c>
      <c r="Q38" s="81">
        <v>1.25</v>
      </c>
      <c r="R38" s="81">
        <v>1.25</v>
      </c>
      <c r="S38" s="81">
        <v>1.25</v>
      </c>
      <c r="T38" s="81">
        <v>1.25</v>
      </c>
      <c r="U38" s="81">
        <v>1.25</v>
      </c>
      <c r="V38" s="81">
        <v>1.25</v>
      </c>
      <c r="W38" s="81">
        <v>1.25</v>
      </c>
      <c r="X38" s="82">
        <v>0.125</v>
      </c>
    </row>
    <row r="39" spans="2:24" ht="34.5" customHeight="1">
      <c r="B39" s="301"/>
      <c r="C39" s="302"/>
      <c r="D39" s="302"/>
      <c r="E39" s="302"/>
      <c r="F39" s="302"/>
      <c r="G39" s="302"/>
      <c r="H39" s="302"/>
      <c r="I39" s="302"/>
      <c r="J39" s="72" t="s">
        <v>88</v>
      </c>
      <c r="K39" s="86" t="s">
        <v>110</v>
      </c>
      <c r="L39" s="73"/>
      <c r="M39" s="75"/>
      <c r="N39" s="75"/>
      <c r="O39" s="83"/>
      <c r="P39" s="81">
        <v>29.5</v>
      </c>
      <c r="Q39" s="81">
        <v>30</v>
      </c>
      <c r="R39" s="81">
        <v>30.5</v>
      </c>
      <c r="S39" s="81">
        <v>31.25</v>
      </c>
      <c r="T39" s="81">
        <v>32</v>
      </c>
      <c r="U39" s="81">
        <v>32.75</v>
      </c>
      <c r="V39" s="81">
        <v>33.5</v>
      </c>
      <c r="W39" s="81">
        <v>34.25</v>
      </c>
      <c r="X39" s="82">
        <v>0.5</v>
      </c>
    </row>
    <row r="40" spans="2:24" ht="34.5" customHeight="1">
      <c r="B40" s="301"/>
      <c r="C40" s="302"/>
      <c r="D40" s="302"/>
      <c r="E40" s="302"/>
      <c r="F40" s="302"/>
      <c r="G40" s="302"/>
      <c r="H40" s="302"/>
      <c r="I40" s="302"/>
      <c r="J40" s="72" t="s">
        <v>89</v>
      </c>
      <c r="K40" s="86" t="s">
        <v>111</v>
      </c>
      <c r="L40" s="73"/>
      <c r="M40" s="75"/>
      <c r="N40" s="75"/>
      <c r="O40" s="83"/>
      <c r="P40" s="81">
        <v>29</v>
      </c>
      <c r="Q40" s="81">
        <v>29.5</v>
      </c>
      <c r="R40" s="81">
        <v>30</v>
      </c>
      <c r="S40" s="81">
        <v>30.75</v>
      </c>
      <c r="T40" s="81">
        <v>31.5</v>
      </c>
      <c r="U40" s="81">
        <v>32.25</v>
      </c>
      <c r="V40" s="81">
        <v>33</v>
      </c>
      <c r="W40" s="81">
        <v>33.75</v>
      </c>
      <c r="X40" s="82">
        <v>0.5</v>
      </c>
    </row>
    <row r="41" spans="2:24" ht="34.5" customHeight="1">
      <c r="B41" s="301"/>
      <c r="C41" s="302"/>
      <c r="D41" s="302"/>
      <c r="E41" s="302"/>
      <c r="F41" s="302"/>
      <c r="G41" s="302"/>
      <c r="H41" s="302"/>
      <c r="I41" s="302"/>
      <c r="J41" s="72" t="s">
        <v>90</v>
      </c>
      <c r="K41" s="86" t="s">
        <v>112</v>
      </c>
      <c r="L41" s="73"/>
      <c r="M41" s="76"/>
      <c r="N41" s="76"/>
      <c r="O41" s="84"/>
      <c r="P41" s="81">
        <v>15.25</v>
      </c>
      <c r="Q41" s="81">
        <v>15.75</v>
      </c>
      <c r="R41" s="81">
        <v>16.5</v>
      </c>
      <c r="S41" s="81">
        <v>17.25</v>
      </c>
      <c r="T41" s="81">
        <v>18</v>
      </c>
      <c r="U41" s="81">
        <v>18.75</v>
      </c>
      <c r="V41" s="81">
        <v>19.5</v>
      </c>
      <c r="W41" s="81">
        <v>20.25</v>
      </c>
      <c r="X41" s="82">
        <v>0.375</v>
      </c>
    </row>
    <row r="42" spans="2:24" ht="34.5" customHeight="1">
      <c r="B42" s="301"/>
      <c r="C42" s="302"/>
      <c r="D42" s="302"/>
      <c r="E42" s="302"/>
      <c r="F42" s="302"/>
      <c r="G42" s="302"/>
      <c r="H42" s="302"/>
      <c r="I42" s="302"/>
      <c r="J42" s="72" t="s">
        <v>91</v>
      </c>
      <c r="K42" s="86" t="s">
        <v>113</v>
      </c>
      <c r="L42" s="73"/>
      <c r="M42" s="76"/>
      <c r="N42" s="76"/>
      <c r="O42" s="84"/>
      <c r="P42" s="81">
        <v>6.5</v>
      </c>
      <c r="Q42" s="81">
        <v>6.75</v>
      </c>
      <c r="R42" s="81">
        <v>7</v>
      </c>
      <c r="S42" s="81">
        <v>7.25</v>
      </c>
      <c r="T42" s="81">
        <v>7.5</v>
      </c>
      <c r="U42" s="81">
        <v>7.75</v>
      </c>
      <c r="V42" s="81">
        <v>8</v>
      </c>
      <c r="W42" s="81">
        <v>8.25</v>
      </c>
      <c r="X42" s="82">
        <v>0.125</v>
      </c>
    </row>
    <row r="43" spans="2:24" ht="34.5" customHeight="1">
      <c r="B43" s="301"/>
      <c r="C43" s="302"/>
      <c r="D43" s="302"/>
      <c r="E43" s="302"/>
      <c r="F43" s="302"/>
      <c r="G43" s="302"/>
      <c r="H43" s="302"/>
      <c r="I43" s="302"/>
      <c r="J43" s="72" t="s">
        <v>92</v>
      </c>
      <c r="K43" s="86" t="s">
        <v>114</v>
      </c>
      <c r="L43" s="73"/>
      <c r="M43" s="76"/>
      <c r="N43" s="76"/>
      <c r="O43" s="84"/>
      <c r="P43" s="81">
        <v>14.5</v>
      </c>
      <c r="Q43" s="81">
        <v>15</v>
      </c>
      <c r="R43" s="81">
        <v>15.75</v>
      </c>
      <c r="S43" s="81">
        <v>16.5</v>
      </c>
      <c r="T43" s="81">
        <v>17.25</v>
      </c>
      <c r="U43" s="81">
        <v>18</v>
      </c>
      <c r="V43" s="81">
        <v>18.75</v>
      </c>
      <c r="W43" s="81">
        <v>19.5</v>
      </c>
      <c r="X43" s="82">
        <v>0.375</v>
      </c>
    </row>
    <row r="44" spans="2:24" ht="34.5" customHeight="1">
      <c r="B44" s="301"/>
      <c r="C44" s="302"/>
      <c r="D44" s="302"/>
      <c r="E44" s="302"/>
      <c r="F44" s="302"/>
      <c r="G44" s="302"/>
      <c r="H44" s="302"/>
      <c r="I44" s="302"/>
      <c r="J44" s="72" t="s">
        <v>93</v>
      </c>
      <c r="K44" s="86" t="s">
        <v>115</v>
      </c>
      <c r="L44" s="73"/>
      <c r="M44" s="76"/>
      <c r="N44" s="76"/>
      <c r="O44" s="84"/>
      <c r="P44" s="81">
        <v>6.5</v>
      </c>
      <c r="Q44" s="81">
        <v>6.75</v>
      </c>
      <c r="R44" s="81">
        <v>7</v>
      </c>
      <c r="S44" s="81">
        <v>7.25</v>
      </c>
      <c r="T44" s="81">
        <v>7.5</v>
      </c>
      <c r="U44" s="81">
        <v>7.75</v>
      </c>
      <c r="V44" s="81">
        <v>8</v>
      </c>
      <c r="W44" s="81">
        <v>8.25</v>
      </c>
      <c r="X44" s="82">
        <v>0.125</v>
      </c>
    </row>
    <row r="45" spans="2:24" ht="34.5" customHeight="1">
      <c r="B45" s="301"/>
      <c r="C45" s="302"/>
      <c r="D45" s="302"/>
      <c r="E45" s="302"/>
      <c r="F45" s="302"/>
      <c r="G45" s="302"/>
      <c r="H45" s="302"/>
      <c r="I45" s="302"/>
      <c r="J45" s="72" t="s">
        <v>94</v>
      </c>
      <c r="K45" s="86" t="s">
        <v>116</v>
      </c>
      <c r="L45" s="73"/>
      <c r="M45" s="75"/>
      <c r="N45" s="75"/>
      <c r="O45" s="83"/>
      <c r="P45" s="81">
        <v>15.25</v>
      </c>
      <c r="Q45" s="81">
        <v>15.75</v>
      </c>
      <c r="R45" s="81">
        <v>16.5</v>
      </c>
      <c r="S45" s="81">
        <v>17.25</v>
      </c>
      <c r="T45" s="81">
        <v>18</v>
      </c>
      <c r="U45" s="81">
        <v>18.75</v>
      </c>
      <c r="V45" s="81">
        <v>19.5</v>
      </c>
      <c r="W45" s="81">
        <v>20.25</v>
      </c>
      <c r="X45" s="82">
        <v>0.375</v>
      </c>
    </row>
    <row r="46" spans="2:24" ht="34.5" customHeight="1">
      <c r="B46" s="301"/>
      <c r="C46" s="302"/>
      <c r="D46" s="302"/>
      <c r="E46" s="302"/>
      <c r="F46" s="302"/>
      <c r="G46" s="302"/>
      <c r="H46" s="302"/>
      <c r="I46" s="302"/>
      <c r="J46" s="72" t="s">
        <v>95</v>
      </c>
      <c r="K46" s="86" t="s">
        <v>117</v>
      </c>
      <c r="L46" s="73"/>
      <c r="M46" s="75"/>
      <c r="N46" s="75"/>
      <c r="O46" s="83"/>
      <c r="P46" s="81">
        <v>22</v>
      </c>
      <c r="Q46" s="81">
        <v>23.5</v>
      </c>
      <c r="R46" s="81">
        <v>25.5</v>
      </c>
      <c r="S46" s="81">
        <v>27.5</v>
      </c>
      <c r="T46" s="81">
        <v>29.5</v>
      </c>
      <c r="U46" s="81">
        <v>31.5</v>
      </c>
      <c r="V46" s="81">
        <v>33.5</v>
      </c>
      <c r="W46" s="81">
        <v>35.5</v>
      </c>
      <c r="X46" s="82">
        <v>0.5</v>
      </c>
    </row>
    <row r="47" spans="2:24" ht="34.5" customHeight="1">
      <c r="B47" s="301"/>
      <c r="C47" s="302"/>
      <c r="D47" s="302"/>
      <c r="E47" s="302"/>
      <c r="F47" s="302"/>
      <c r="G47" s="302"/>
      <c r="H47" s="302"/>
      <c r="I47" s="302"/>
      <c r="J47" s="72" t="s">
        <v>96</v>
      </c>
      <c r="K47" s="86" t="s">
        <v>118</v>
      </c>
      <c r="L47" s="73"/>
      <c r="M47" s="75"/>
      <c r="N47" s="75"/>
      <c r="O47" s="83"/>
      <c r="P47" s="81">
        <v>16.5</v>
      </c>
      <c r="Q47" s="81">
        <v>17</v>
      </c>
      <c r="R47" s="81">
        <v>17.5</v>
      </c>
      <c r="S47" s="81">
        <v>18.25</v>
      </c>
      <c r="T47" s="81">
        <v>19</v>
      </c>
      <c r="U47" s="81">
        <v>19.75</v>
      </c>
      <c r="V47" s="81">
        <v>20.5</v>
      </c>
      <c r="W47" s="81">
        <v>21.25</v>
      </c>
      <c r="X47" s="82">
        <v>0.25</v>
      </c>
    </row>
    <row r="48" spans="2:24" ht="34.5" customHeight="1">
      <c r="B48" s="301"/>
      <c r="C48" s="302"/>
      <c r="D48" s="302"/>
      <c r="E48" s="302"/>
      <c r="F48" s="302"/>
      <c r="G48" s="302"/>
      <c r="H48" s="302"/>
      <c r="I48" s="302"/>
      <c r="J48" s="72" t="s">
        <v>97</v>
      </c>
      <c r="K48" s="86" t="s">
        <v>119</v>
      </c>
      <c r="L48" s="73"/>
      <c r="M48" s="75"/>
      <c r="N48" s="75"/>
      <c r="O48" s="83"/>
      <c r="P48" s="81">
        <v>21.25</v>
      </c>
      <c r="Q48" s="81">
        <v>22.75</v>
      </c>
      <c r="R48" s="81">
        <v>24.75</v>
      </c>
      <c r="S48" s="81">
        <v>26.75</v>
      </c>
      <c r="T48" s="81">
        <v>28.75</v>
      </c>
      <c r="U48" s="81">
        <v>30.75</v>
      </c>
      <c r="V48" s="81">
        <v>32.75</v>
      </c>
      <c r="W48" s="81">
        <v>34.75</v>
      </c>
      <c r="X48" s="82">
        <v>0.5</v>
      </c>
    </row>
    <row r="49" spans="2:24" ht="34.5" customHeight="1">
      <c r="B49" s="301"/>
      <c r="C49" s="302"/>
      <c r="D49" s="302"/>
      <c r="E49" s="302"/>
      <c r="F49" s="302"/>
      <c r="G49" s="302"/>
      <c r="H49" s="302"/>
      <c r="I49" s="302"/>
      <c r="J49" s="72" t="s">
        <v>159</v>
      </c>
      <c r="K49" s="86" t="s">
        <v>160</v>
      </c>
      <c r="L49" s="73"/>
      <c r="M49" s="75"/>
      <c r="N49" s="75"/>
      <c r="O49" s="83"/>
      <c r="P49" s="81">
        <v>21.25</v>
      </c>
      <c r="Q49" s="81">
        <v>22.75</v>
      </c>
      <c r="R49" s="81">
        <v>24.75</v>
      </c>
      <c r="S49" s="81">
        <v>26.75</v>
      </c>
      <c r="T49" s="81">
        <v>28.75</v>
      </c>
      <c r="U49" s="81">
        <v>30.75</v>
      </c>
      <c r="V49" s="81">
        <v>32.75</v>
      </c>
      <c r="W49" s="81">
        <v>34.75</v>
      </c>
      <c r="X49" s="82">
        <v>0.5</v>
      </c>
    </row>
    <row r="50" spans="2:24" ht="34.5" customHeight="1">
      <c r="B50" s="301"/>
      <c r="C50" s="302"/>
      <c r="D50" s="302"/>
      <c r="E50" s="302"/>
      <c r="F50" s="302"/>
      <c r="G50" s="302"/>
      <c r="H50" s="302"/>
      <c r="I50" s="302"/>
      <c r="J50" s="72" t="s">
        <v>98</v>
      </c>
      <c r="K50" s="86" t="s">
        <v>120</v>
      </c>
      <c r="L50" s="73"/>
      <c r="M50" s="75"/>
      <c r="N50" s="75"/>
      <c r="O50" s="83"/>
      <c r="P50" s="81">
        <v>8</v>
      </c>
      <c r="Q50" s="81">
        <v>8</v>
      </c>
      <c r="R50" s="81">
        <v>8</v>
      </c>
      <c r="S50" s="81">
        <v>8</v>
      </c>
      <c r="T50" s="81">
        <v>8</v>
      </c>
      <c r="U50" s="81">
        <v>8</v>
      </c>
      <c r="V50" s="81">
        <v>8</v>
      </c>
      <c r="W50" s="81">
        <v>8</v>
      </c>
      <c r="X50" s="82">
        <v>0.25</v>
      </c>
    </row>
    <row r="51" spans="2:24" ht="34.5" customHeight="1">
      <c r="B51" s="301"/>
      <c r="C51" s="302"/>
      <c r="D51" s="302"/>
      <c r="E51" s="302"/>
      <c r="F51" s="302"/>
      <c r="G51" s="302"/>
      <c r="H51" s="302"/>
      <c r="I51" s="302"/>
      <c r="J51" s="72"/>
      <c r="K51" s="86" t="s">
        <v>121</v>
      </c>
      <c r="L51" s="73"/>
      <c r="M51" s="75"/>
      <c r="N51" s="75"/>
      <c r="O51" s="83"/>
      <c r="P51" s="81"/>
      <c r="Q51" s="81"/>
      <c r="R51" s="81"/>
      <c r="S51" s="81"/>
      <c r="T51" s="81"/>
      <c r="U51" s="81"/>
      <c r="V51" s="81"/>
      <c r="W51" s="81"/>
      <c r="X51" s="82"/>
    </row>
    <row r="52" spans="2:24" ht="34.5" customHeight="1">
      <c r="B52" s="301"/>
      <c r="C52" s="302"/>
      <c r="D52" s="302"/>
      <c r="E52" s="302"/>
      <c r="F52" s="302"/>
      <c r="G52" s="302"/>
      <c r="H52" s="302"/>
      <c r="I52" s="302"/>
      <c r="J52" s="72" t="s">
        <v>99</v>
      </c>
      <c r="K52" s="86" t="s">
        <v>122</v>
      </c>
      <c r="L52" s="73"/>
      <c r="M52" s="77"/>
      <c r="N52" s="77"/>
      <c r="O52" s="78"/>
      <c r="P52" s="81">
        <v>10</v>
      </c>
      <c r="Q52" s="81">
        <v>10.25</v>
      </c>
      <c r="R52" s="81">
        <v>10.5</v>
      </c>
      <c r="S52" s="81">
        <v>10.75</v>
      </c>
      <c r="T52" s="81">
        <v>11</v>
      </c>
      <c r="U52" s="81">
        <v>11.25</v>
      </c>
      <c r="V52" s="81">
        <v>11.5</v>
      </c>
      <c r="W52" s="81">
        <v>11.75</v>
      </c>
      <c r="X52" s="82">
        <v>0.25</v>
      </c>
    </row>
    <row r="53" spans="2:24" ht="34.5" customHeight="1">
      <c r="B53" s="301"/>
      <c r="C53" s="302"/>
      <c r="D53" s="302"/>
      <c r="E53" s="302"/>
      <c r="F53" s="302"/>
      <c r="G53" s="302"/>
      <c r="H53" s="302"/>
      <c r="I53" s="302"/>
      <c r="J53" s="72" t="s">
        <v>100</v>
      </c>
      <c r="K53" s="86" t="s">
        <v>123</v>
      </c>
      <c r="L53" s="73"/>
      <c r="M53" s="75"/>
      <c r="N53" s="75"/>
      <c r="O53" s="83"/>
      <c r="P53" s="81">
        <v>15.75</v>
      </c>
      <c r="Q53" s="81">
        <v>16.375</v>
      </c>
      <c r="R53" s="81">
        <v>17</v>
      </c>
      <c r="S53" s="81">
        <v>17.625</v>
      </c>
      <c r="T53" s="81">
        <v>18.25</v>
      </c>
      <c r="U53" s="81">
        <v>18.875</v>
      </c>
      <c r="V53" s="81">
        <v>19.5</v>
      </c>
      <c r="W53" s="81">
        <v>20.125</v>
      </c>
      <c r="X53" s="82">
        <v>0.25</v>
      </c>
    </row>
    <row r="54" spans="2:24" ht="48" customHeight="1">
      <c r="B54" s="301"/>
      <c r="C54" s="302"/>
      <c r="D54" s="302"/>
      <c r="E54" s="302"/>
      <c r="F54" s="302"/>
      <c r="G54" s="302"/>
      <c r="H54" s="302"/>
      <c r="I54" s="302"/>
      <c r="J54" s="72" t="s">
        <v>101</v>
      </c>
      <c r="K54" s="86" t="s">
        <v>124</v>
      </c>
      <c r="L54" s="77"/>
      <c r="M54" s="77"/>
      <c r="N54" s="77"/>
      <c r="O54" s="78"/>
      <c r="P54" s="81">
        <v>7.75</v>
      </c>
      <c r="Q54" s="81">
        <v>8</v>
      </c>
      <c r="R54" s="81">
        <v>8.25</v>
      </c>
      <c r="S54" s="81">
        <v>8.5</v>
      </c>
      <c r="T54" s="81">
        <v>8.75</v>
      </c>
      <c r="U54" s="81">
        <v>9</v>
      </c>
      <c r="V54" s="81">
        <v>9.25</v>
      </c>
      <c r="W54" s="81">
        <v>9.5</v>
      </c>
      <c r="X54" s="82">
        <v>0.125</v>
      </c>
    </row>
    <row r="55" spans="2:24" ht="34.5" customHeight="1">
      <c r="B55" s="301"/>
      <c r="C55" s="302"/>
      <c r="D55" s="302"/>
      <c r="E55" s="302"/>
      <c r="F55" s="302"/>
      <c r="G55" s="302"/>
      <c r="H55" s="302"/>
      <c r="I55" s="302"/>
      <c r="J55" s="72" t="s">
        <v>102</v>
      </c>
      <c r="K55" s="86" t="s">
        <v>125</v>
      </c>
      <c r="L55" s="73"/>
      <c r="M55" s="75"/>
      <c r="N55" s="75"/>
      <c r="O55" s="83"/>
      <c r="P55" s="81">
        <v>5.125</v>
      </c>
      <c r="Q55" s="81">
        <v>5.375</v>
      </c>
      <c r="R55" s="81">
        <v>5.625</v>
      </c>
      <c r="S55" s="81">
        <v>5.875</v>
      </c>
      <c r="T55" s="81">
        <v>6.125</v>
      </c>
      <c r="U55" s="81">
        <v>6.375</v>
      </c>
      <c r="V55" s="81">
        <v>6.625</v>
      </c>
      <c r="W55" s="81">
        <v>6.875</v>
      </c>
      <c r="X55" s="82">
        <v>0.125</v>
      </c>
    </row>
    <row r="56" spans="2:24" ht="34.5" customHeight="1">
      <c r="B56" s="301"/>
      <c r="C56" s="302"/>
      <c r="D56" s="302"/>
      <c r="E56" s="302"/>
      <c r="F56" s="302"/>
      <c r="G56" s="302"/>
      <c r="H56" s="302"/>
      <c r="I56" s="302"/>
      <c r="J56" s="72" t="s">
        <v>103</v>
      </c>
      <c r="K56" s="86" t="s">
        <v>126</v>
      </c>
      <c r="L56" s="73"/>
      <c r="M56" s="75"/>
      <c r="N56" s="75"/>
      <c r="O56" s="83"/>
      <c r="P56" s="81">
        <v>7.25</v>
      </c>
      <c r="Q56" s="81">
        <v>7.75</v>
      </c>
      <c r="R56" s="81">
        <v>8.5</v>
      </c>
      <c r="S56" s="81">
        <v>9.25</v>
      </c>
      <c r="T56" s="81">
        <v>10</v>
      </c>
      <c r="U56" s="81">
        <v>10.75</v>
      </c>
      <c r="V56" s="81">
        <v>11.5</v>
      </c>
      <c r="W56" s="81">
        <v>12.25</v>
      </c>
      <c r="X56" s="82">
        <v>0.25</v>
      </c>
    </row>
    <row r="57" spans="2:24" ht="34.5" customHeight="1">
      <c r="B57" s="301"/>
      <c r="C57" s="302"/>
      <c r="D57" s="302"/>
      <c r="E57" s="302"/>
      <c r="F57" s="302"/>
      <c r="G57" s="302"/>
      <c r="H57" s="302"/>
      <c r="I57" s="302"/>
      <c r="J57" s="72"/>
      <c r="K57" s="86" t="s">
        <v>127</v>
      </c>
      <c r="L57" s="74"/>
      <c r="M57" s="79"/>
      <c r="N57" s="79"/>
      <c r="O57" s="85"/>
      <c r="P57" s="81"/>
      <c r="Q57" s="81"/>
      <c r="R57" s="81"/>
      <c r="S57" s="81"/>
      <c r="T57" s="81"/>
      <c r="U57" s="81"/>
      <c r="V57" s="81"/>
      <c r="W57" s="81"/>
      <c r="X57" s="82"/>
    </row>
    <row r="58" spans="2:24" ht="34.15" customHeight="1">
      <c r="B58" s="301"/>
      <c r="C58" s="302"/>
      <c r="D58" s="302"/>
      <c r="E58" s="302"/>
      <c r="F58" s="302"/>
      <c r="G58" s="302"/>
      <c r="H58" s="302"/>
      <c r="I58" s="302"/>
      <c r="J58" s="72" t="s">
        <v>104</v>
      </c>
      <c r="K58" s="86" t="s">
        <v>128</v>
      </c>
      <c r="L58" s="74"/>
      <c r="M58" s="79"/>
      <c r="N58" s="79"/>
      <c r="O58" s="85"/>
      <c r="P58" s="81">
        <v>8.75</v>
      </c>
      <c r="Q58" s="81">
        <v>9</v>
      </c>
      <c r="R58" s="81">
        <v>9.25</v>
      </c>
      <c r="S58" s="81">
        <v>9.5</v>
      </c>
      <c r="T58" s="81">
        <v>9.75</v>
      </c>
      <c r="U58" s="81">
        <v>9.75</v>
      </c>
      <c r="V58" s="81">
        <v>10</v>
      </c>
      <c r="W58" s="81">
        <v>10</v>
      </c>
      <c r="X58" s="82">
        <v>0.125</v>
      </c>
    </row>
    <row r="59" spans="2:24" ht="34.5" customHeight="1">
      <c r="B59" s="301"/>
      <c r="C59" s="302"/>
      <c r="D59" s="302"/>
      <c r="E59" s="302"/>
      <c r="F59" s="302"/>
      <c r="G59" s="302"/>
      <c r="H59" s="302"/>
      <c r="I59" s="302"/>
      <c r="J59" s="72" t="s">
        <v>105</v>
      </c>
      <c r="K59" s="86" t="s">
        <v>129</v>
      </c>
      <c r="L59" s="74"/>
      <c r="M59" s="79"/>
      <c r="N59" s="79"/>
      <c r="O59" s="85"/>
      <c r="P59" s="81">
        <v>7.5</v>
      </c>
      <c r="Q59" s="81">
        <v>7.75</v>
      </c>
      <c r="R59" s="81">
        <v>8</v>
      </c>
      <c r="S59" s="81">
        <v>8.25</v>
      </c>
      <c r="T59" s="81">
        <v>8.5</v>
      </c>
      <c r="U59" s="81">
        <v>8.5</v>
      </c>
      <c r="V59" s="81">
        <v>8.75</v>
      </c>
      <c r="W59" s="81">
        <v>8.75</v>
      </c>
      <c r="X59" s="82">
        <v>0.125</v>
      </c>
    </row>
    <row r="60" spans="2:24" ht="34.15" customHeight="1">
      <c r="B60" s="301"/>
      <c r="C60" s="302"/>
      <c r="D60" s="302"/>
      <c r="E60" s="302"/>
      <c r="F60" s="302"/>
      <c r="G60" s="302"/>
      <c r="H60" s="302"/>
      <c r="I60" s="302"/>
      <c r="J60" s="72" t="s">
        <v>106</v>
      </c>
      <c r="K60" s="86" t="s">
        <v>130</v>
      </c>
      <c r="L60" s="74"/>
      <c r="M60" s="79"/>
      <c r="N60" s="79"/>
      <c r="O60" s="85"/>
      <c r="P60" s="81">
        <v>1.25</v>
      </c>
      <c r="Q60" s="81">
        <v>1.375</v>
      </c>
      <c r="R60" s="81">
        <v>1.5</v>
      </c>
      <c r="S60" s="81">
        <v>1.625</v>
      </c>
      <c r="T60" s="81">
        <v>1.75</v>
      </c>
      <c r="U60" s="81">
        <v>1.875</v>
      </c>
      <c r="V60" s="81">
        <v>2</v>
      </c>
      <c r="W60" s="81">
        <v>2.125</v>
      </c>
      <c r="X60" s="82">
        <v>0.125</v>
      </c>
    </row>
    <row r="61" spans="2:24" ht="34.5" customHeight="1">
      <c r="B61" s="301"/>
      <c r="C61" s="302"/>
      <c r="D61" s="302"/>
      <c r="E61" s="302"/>
      <c r="F61" s="302"/>
      <c r="G61" s="302"/>
      <c r="H61" s="302"/>
      <c r="I61" s="302"/>
      <c r="J61" s="72"/>
      <c r="K61" s="41"/>
      <c r="L61" s="55"/>
      <c r="M61" s="37"/>
      <c r="N61" s="37"/>
      <c r="O61" s="37"/>
      <c r="P61" s="70"/>
      <c r="Q61" s="70"/>
      <c r="R61" s="39"/>
      <c r="S61" s="70"/>
      <c r="T61" s="71"/>
      <c r="U61" s="71"/>
      <c r="V61" s="71"/>
      <c r="W61" s="71"/>
      <c r="X61" s="40"/>
    </row>
    <row r="62" spans="2:24" ht="34.5" customHeight="1">
      <c r="B62" s="301"/>
      <c r="C62" s="302"/>
      <c r="D62" s="302"/>
      <c r="E62" s="302"/>
      <c r="F62" s="302"/>
      <c r="G62" s="302"/>
      <c r="H62" s="302"/>
      <c r="I62" s="302"/>
      <c r="J62" s="72"/>
      <c r="K62" s="87" t="s">
        <v>161</v>
      </c>
      <c r="L62" s="74"/>
      <c r="M62" s="74"/>
      <c r="N62" s="74"/>
      <c r="O62" s="89"/>
      <c r="P62" s="84"/>
      <c r="Q62" s="80"/>
      <c r="R62" s="81"/>
      <c r="S62" s="39"/>
      <c r="T62" s="39"/>
      <c r="U62" s="39"/>
      <c r="V62" s="39"/>
      <c r="W62" s="31"/>
      <c r="X62" s="33"/>
    </row>
    <row r="63" spans="2:24" ht="34.5" customHeight="1">
      <c r="B63" s="301"/>
      <c r="C63" s="302"/>
      <c r="D63" s="302"/>
      <c r="E63" s="302"/>
      <c r="F63" s="302"/>
      <c r="G63" s="302"/>
      <c r="H63" s="302"/>
      <c r="I63" s="302"/>
      <c r="J63" s="72" t="s">
        <v>107</v>
      </c>
      <c r="K63" s="87" t="s">
        <v>131</v>
      </c>
      <c r="L63" s="74"/>
      <c r="M63" s="74"/>
      <c r="N63" s="74"/>
      <c r="O63" s="89"/>
      <c r="P63" s="84"/>
      <c r="Q63" s="80"/>
      <c r="R63" s="81">
        <v>31.5</v>
      </c>
      <c r="S63" s="34"/>
      <c r="T63" s="34"/>
      <c r="U63" s="34"/>
      <c r="V63" s="34"/>
      <c r="W63" s="31"/>
      <c r="X63" s="33">
        <v>0</v>
      </c>
    </row>
    <row r="64" spans="2:24" ht="34.5" customHeight="1">
      <c r="B64" s="301"/>
      <c r="C64" s="302"/>
      <c r="D64" s="302"/>
      <c r="E64" s="302"/>
      <c r="F64" s="302"/>
      <c r="G64" s="302"/>
      <c r="H64" s="302"/>
      <c r="I64" s="302"/>
      <c r="J64" s="72" t="s">
        <v>98</v>
      </c>
      <c r="K64" s="87" t="s">
        <v>132</v>
      </c>
      <c r="L64" s="74"/>
      <c r="M64" s="74"/>
      <c r="N64" s="90"/>
      <c r="O64" s="91"/>
      <c r="P64" s="84"/>
      <c r="Q64" s="80"/>
      <c r="R64" s="81">
        <v>9</v>
      </c>
      <c r="S64" s="34"/>
      <c r="T64" s="34"/>
      <c r="U64" s="34"/>
      <c r="V64" s="34"/>
      <c r="W64" s="31"/>
      <c r="X64" s="33">
        <v>0</v>
      </c>
    </row>
    <row r="65" spans="2:24" ht="34.5" customHeight="1">
      <c r="B65" s="301"/>
      <c r="C65" s="302"/>
      <c r="D65" s="302"/>
      <c r="E65" s="302"/>
      <c r="F65" s="302"/>
      <c r="G65" s="302"/>
      <c r="H65" s="302"/>
      <c r="I65" s="302"/>
      <c r="J65" s="72" t="s">
        <v>98</v>
      </c>
      <c r="K65" s="87" t="s">
        <v>133</v>
      </c>
      <c r="L65" s="74"/>
      <c r="M65" s="90"/>
      <c r="N65" s="74"/>
      <c r="O65" s="89"/>
      <c r="P65" s="84"/>
      <c r="Q65" s="80"/>
      <c r="R65" s="81">
        <v>8.5</v>
      </c>
      <c r="S65" s="34"/>
      <c r="T65" s="34"/>
      <c r="U65" s="34"/>
      <c r="V65" s="34"/>
      <c r="W65" s="31"/>
      <c r="X65" s="33">
        <v>0</v>
      </c>
    </row>
    <row r="66" spans="2:24" ht="34.5" customHeight="1">
      <c r="B66" s="301"/>
      <c r="C66" s="302"/>
      <c r="D66" s="302"/>
      <c r="E66" s="302"/>
      <c r="F66" s="302"/>
      <c r="G66" s="302"/>
      <c r="H66" s="302"/>
      <c r="I66" s="302"/>
      <c r="J66" s="72" t="s">
        <v>98</v>
      </c>
      <c r="K66" s="87" t="s">
        <v>134</v>
      </c>
      <c r="L66" s="74"/>
      <c r="M66" s="74"/>
      <c r="N66" s="74"/>
      <c r="O66" s="89"/>
      <c r="P66" s="84"/>
      <c r="Q66" s="80"/>
      <c r="R66" s="88">
        <v>17.5</v>
      </c>
      <c r="S66" s="34"/>
      <c r="T66" s="34"/>
      <c r="U66" s="34"/>
      <c r="V66" s="34"/>
      <c r="W66" s="31"/>
      <c r="X66" s="33">
        <v>0</v>
      </c>
    </row>
    <row r="67" spans="2:24" ht="34.5" customHeight="1">
      <c r="B67" s="301"/>
      <c r="C67" s="302"/>
      <c r="D67" s="302"/>
      <c r="E67" s="302"/>
      <c r="F67" s="302"/>
      <c r="G67" s="302"/>
      <c r="H67" s="302"/>
      <c r="I67" s="302"/>
      <c r="J67" s="72"/>
      <c r="K67" s="41"/>
      <c r="L67" s="55"/>
      <c r="M67" s="55"/>
      <c r="N67" s="53"/>
      <c r="O67" s="54"/>
      <c r="P67" s="36"/>
      <c r="Q67" s="61"/>
      <c r="R67" s="34"/>
      <c r="S67" s="34"/>
      <c r="T67" s="34"/>
      <c r="U67" s="34"/>
      <c r="V67" s="34"/>
      <c r="W67" s="31"/>
      <c r="X67" s="33"/>
    </row>
    <row r="68" spans="2:24" ht="34.5" customHeight="1">
      <c r="B68" s="301"/>
      <c r="C68" s="302"/>
      <c r="D68" s="302"/>
      <c r="E68" s="302"/>
      <c r="F68" s="302"/>
      <c r="G68" s="302"/>
      <c r="H68" s="302"/>
      <c r="I68" s="302"/>
      <c r="J68" s="72"/>
      <c r="K68" s="38"/>
      <c r="L68" s="53"/>
      <c r="M68" s="53"/>
      <c r="N68" s="53"/>
      <c r="O68" s="54"/>
      <c r="P68" s="36"/>
      <c r="Q68" s="61"/>
      <c r="R68" s="34"/>
      <c r="S68" s="34"/>
      <c r="T68" s="34"/>
      <c r="U68" s="34"/>
      <c r="V68" s="34"/>
      <c r="W68" s="31"/>
      <c r="X68" s="33"/>
    </row>
    <row r="69" spans="2:24" ht="34.5" customHeight="1">
      <c r="B69" s="301"/>
      <c r="C69" s="302"/>
      <c r="D69" s="302"/>
      <c r="E69" s="302"/>
      <c r="F69" s="302"/>
      <c r="G69" s="302"/>
      <c r="H69" s="302"/>
      <c r="I69" s="302"/>
      <c r="J69" s="93"/>
      <c r="K69" s="38"/>
      <c r="L69" s="53"/>
      <c r="M69" s="53"/>
      <c r="N69" s="53"/>
      <c r="O69" s="54"/>
      <c r="P69" s="36"/>
      <c r="Q69" s="61"/>
      <c r="R69" s="34"/>
      <c r="S69" s="34"/>
      <c r="T69" s="32"/>
      <c r="U69" s="32"/>
      <c r="V69" s="32"/>
      <c r="W69" s="31"/>
      <c r="X69" s="33"/>
    </row>
    <row r="70" spans="2:24" ht="31.9" customHeight="1" thickBot="1">
      <c r="B70" s="303"/>
      <c r="C70" s="304"/>
      <c r="D70" s="304"/>
      <c r="E70" s="304"/>
      <c r="F70" s="304"/>
      <c r="G70" s="304"/>
      <c r="H70" s="304"/>
      <c r="I70" s="304"/>
      <c r="J70" s="18"/>
      <c r="K70" s="64"/>
      <c r="L70" s="53"/>
      <c r="M70" s="53"/>
      <c r="N70" s="53"/>
      <c r="O70" s="54"/>
      <c r="P70" s="62"/>
      <c r="Q70" s="63"/>
      <c r="R70" s="34"/>
      <c r="S70" s="34"/>
      <c r="T70" s="32"/>
      <c r="U70" s="32"/>
      <c r="V70" s="32"/>
      <c r="W70" s="31"/>
      <c r="X70" s="33"/>
    </row>
    <row r="71" spans="2:24" ht="24.95" customHeight="1" thickBot="1">
      <c r="B71" s="180" t="s">
        <v>31</v>
      </c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2"/>
      <c r="N71" s="180" t="s">
        <v>33</v>
      </c>
      <c r="O71" s="181"/>
      <c r="P71" s="181"/>
      <c r="Q71" s="181"/>
      <c r="R71" s="181"/>
      <c r="S71" s="181"/>
      <c r="T71" s="181"/>
      <c r="U71" s="181"/>
      <c r="V71" s="181"/>
      <c r="W71" s="181"/>
      <c r="X71" s="182"/>
    </row>
    <row r="72" spans="2:24" ht="28.5" customHeight="1">
      <c r="B72" s="268" t="s">
        <v>27</v>
      </c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70"/>
      <c r="N72" s="12" t="s">
        <v>38</v>
      </c>
      <c r="O72" s="293" t="s">
        <v>39</v>
      </c>
      <c r="P72" s="294"/>
      <c r="Q72" s="295"/>
      <c r="R72" s="293" t="s">
        <v>40</v>
      </c>
      <c r="S72" s="294"/>
      <c r="T72" s="295"/>
      <c r="U72" s="293" t="s">
        <v>41</v>
      </c>
      <c r="V72" s="294"/>
      <c r="W72" s="294"/>
      <c r="X72" s="296"/>
    </row>
    <row r="73" spans="2:24" ht="28.5" customHeight="1">
      <c r="B73" s="268" t="s">
        <v>28</v>
      </c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70"/>
      <c r="N73" s="11">
        <v>1</v>
      </c>
      <c r="O73" s="167" t="s">
        <v>42</v>
      </c>
      <c r="P73" s="168"/>
      <c r="Q73" s="169"/>
      <c r="R73" s="167" t="s">
        <v>174</v>
      </c>
      <c r="S73" s="168"/>
      <c r="T73" s="169"/>
      <c r="U73" s="167"/>
      <c r="V73" s="168"/>
      <c r="W73" s="168"/>
      <c r="X73" s="170"/>
    </row>
    <row r="74" spans="2:24" ht="28.5" customHeight="1">
      <c r="B74" s="268" t="s">
        <v>29</v>
      </c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70"/>
      <c r="N74" s="13">
        <v>2</v>
      </c>
      <c r="O74" s="167" t="s">
        <v>67</v>
      </c>
      <c r="P74" s="168"/>
      <c r="Q74" s="169"/>
      <c r="R74" s="167" t="s">
        <v>174</v>
      </c>
      <c r="S74" s="168"/>
      <c r="T74" s="169"/>
      <c r="U74" s="271"/>
      <c r="V74" s="272"/>
      <c r="W74" s="272"/>
      <c r="X74" s="273"/>
    </row>
    <row r="75" spans="2:24" ht="28.5" customHeight="1">
      <c r="B75" s="268" t="s">
        <v>30</v>
      </c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70"/>
      <c r="N75" s="13">
        <v>3</v>
      </c>
      <c r="O75" s="167" t="s">
        <v>83</v>
      </c>
      <c r="P75" s="168"/>
      <c r="Q75" s="169"/>
      <c r="R75" s="274" t="s">
        <v>82</v>
      </c>
      <c r="S75" s="275"/>
      <c r="T75" s="276"/>
      <c r="U75" s="167" t="s">
        <v>137</v>
      </c>
      <c r="V75" s="168"/>
      <c r="W75" s="168"/>
      <c r="X75" s="170"/>
    </row>
    <row r="76" spans="2:24" ht="28.5" customHeight="1">
      <c r="B76" s="57"/>
      <c r="C76" s="58"/>
      <c r="D76" s="58"/>
      <c r="E76" s="58"/>
      <c r="F76" s="96"/>
      <c r="G76" s="58"/>
      <c r="H76" s="58"/>
      <c r="I76" s="58"/>
      <c r="J76" s="58"/>
      <c r="K76" s="58"/>
      <c r="L76" s="58"/>
      <c r="M76" s="59"/>
      <c r="N76" s="13">
        <v>4</v>
      </c>
      <c r="O76" s="167" t="s">
        <v>66</v>
      </c>
      <c r="P76" s="168"/>
      <c r="Q76" s="169"/>
      <c r="R76" s="167" t="s">
        <v>174</v>
      </c>
      <c r="S76" s="168"/>
      <c r="T76" s="169"/>
      <c r="U76" s="167"/>
      <c r="V76" s="168"/>
      <c r="W76" s="168"/>
      <c r="X76" s="170"/>
    </row>
    <row r="77" spans="2:24" ht="28.5" customHeight="1" thickBot="1">
      <c r="B77" s="171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3"/>
      <c r="N77" s="17"/>
      <c r="O77" s="174"/>
      <c r="P77" s="175"/>
      <c r="Q77" s="176"/>
      <c r="R77" s="14"/>
      <c r="S77" s="15"/>
      <c r="T77" s="16"/>
      <c r="U77" s="177"/>
      <c r="V77" s="178"/>
      <c r="W77" s="178"/>
      <c r="X77" s="179"/>
    </row>
    <row r="78" spans="2:24" ht="24.95" customHeight="1" thickBot="1">
      <c r="B78" s="180" t="s">
        <v>32</v>
      </c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2"/>
      <c r="N78" s="183" t="s">
        <v>34</v>
      </c>
      <c r="O78" s="184"/>
      <c r="P78" s="184"/>
      <c r="Q78" s="184"/>
      <c r="R78" s="184"/>
      <c r="S78" s="184"/>
      <c r="T78" s="184"/>
      <c r="U78" s="184"/>
      <c r="V78" s="184"/>
      <c r="W78" s="184"/>
      <c r="X78" s="185"/>
    </row>
    <row r="79" spans="2:24" ht="26.25" customHeight="1">
      <c r="B79" s="47" t="s">
        <v>73</v>
      </c>
      <c r="C79" s="45"/>
      <c r="D79" s="45"/>
      <c r="E79" s="45"/>
      <c r="F79" s="97"/>
      <c r="G79" s="45"/>
      <c r="H79" s="45"/>
      <c r="I79" s="45"/>
      <c r="J79" s="45"/>
      <c r="K79" s="45"/>
      <c r="L79" s="45"/>
      <c r="M79" s="46"/>
      <c r="N79" s="280" t="s">
        <v>63</v>
      </c>
      <c r="O79" s="281"/>
      <c r="P79" s="281"/>
      <c r="Q79" s="281"/>
      <c r="R79" s="281"/>
      <c r="S79" s="281"/>
      <c r="T79" s="281"/>
      <c r="U79" s="281"/>
      <c r="V79" s="281"/>
      <c r="W79" s="281"/>
      <c r="X79" s="282"/>
    </row>
    <row r="80" spans="2:24" ht="26.25" customHeight="1">
      <c r="B80" s="48" t="s">
        <v>143</v>
      </c>
      <c r="C80" s="43"/>
      <c r="D80" s="43"/>
      <c r="E80" s="43"/>
      <c r="F80" s="98"/>
      <c r="G80" s="43"/>
      <c r="H80" s="43"/>
      <c r="I80" s="43"/>
      <c r="J80" s="43"/>
      <c r="K80" s="43"/>
      <c r="L80" s="43"/>
      <c r="M80" s="44"/>
      <c r="N80" s="283"/>
      <c r="O80" s="284"/>
      <c r="P80" s="284"/>
      <c r="Q80" s="284"/>
      <c r="R80" s="284"/>
      <c r="S80" s="284"/>
      <c r="T80" s="284"/>
      <c r="U80" s="284"/>
      <c r="V80" s="284"/>
      <c r="W80" s="284"/>
      <c r="X80" s="285"/>
    </row>
    <row r="81" spans="2:24" ht="26.25" customHeight="1">
      <c r="B81" s="42" t="s">
        <v>135</v>
      </c>
      <c r="C81" s="49"/>
      <c r="D81" s="49"/>
      <c r="E81" s="49"/>
      <c r="F81" s="99"/>
      <c r="G81" s="49"/>
      <c r="H81" s="49"/>
      <c r="I81" s="49"/>
      <c r="J81" s="49"/>
      <c r="K81" s="49"/>
      <c r="L81" s="49"/>
      <c r="M81" s="50"/>
      <c r="N81" s="283"/>
      <c r="O81" s="284"/>
      <c r="P81" s="284"/>
      <c r="Q81" s="284"/>
      <c r="R81" s="284"/>
      <c r="S81" s="284"/>
      <c r="T81" s="284"/>
      <c r="U81" s="284"/>
      <c r="V81" s="284"/>
      <c r="W81" s="284"/>
      <c r="X81" s="285"/>
    </row>
    <row r="82" spans="2:24" ht="26.25" customHeight="1">
      <c r="B82" s="42" t="s">
        <v>136</v>
      </c>
      <c r="C82" s="51"/>
      <c r="D82" s="51"/>
      <c r="E82" s="51"/>
      <c r="F82" s="99"/>
      <c r="G82" s="51"/>
      <c r="H82" s="51"/>
      <c r="I82" s="51"/>
      <c r="J82" s="51"/>
      <c r="K82" s="51"/>
      <c r="L82" s="51"/>
      <c r="M82" s="52"/>
      <c r="N82" s="283"/>
      <c r="O82" s="284"/>
      <c r="P82" s="284"/>
      <c r="Q82" s="284"/>
      <c r="R82" s="284"/>
      <c r="S82" s="284"/>
      <c r="T82" s="284"/>
      <c r="U82" s="284"/>
      <c r="V82" s="284"/>
      <c r="W82" s="284"/>
      <c r="X82" s="285"/>
    </row>
    <row r="83" spans="2:24" ht="26.25" customHeight="1">
      <c r="B83" s="42" t="s">
        <v>146</v>
      </c>
      <c r="C83" s="51"/>
      <c r="D83" s="51"/>
      <c r="E83" s="51"/>
      <c r="F83" s="99"/>
      <c r="G83" s="51"/>
      <c r="H83" s="51"/>
      <c r="I83" s="51"/>
      <c r="J83" s="51"/>
      <c r="K83" s="51"/>
      <c r="L83" s="51"/>
      <c r="M83" s="52"/>
      <c r="N83" s="283"/>
      <c r="O83" s="284"/>
      <c r="P83" s="284"/>
      <c r="Q83" s="284"/>
      <c r="R83" s="284"/>
      <c r="S83" s="284"/>
      <c r="T83" s="284"/>
      <c r="U83" s="284"/>
      <c r="V83" s="284"/>
      <c r="W83" s="284"/>
      <c r="X83" s="285"/>
    </row>
    <row r="84" spans="2:24" ht="26.25" customHeight="1" thickBot="1">
      <c r="B84" s="42"/>
      <c r="C84" s="51"/>
      <c r="D84" s="51"/>
      <c r="E84" s="51"/>
      <c r="F84" s="99"/>
      <c r="G84" s="51"/>
      <c r="H84" s="51"/>
      <c r="I84" s="51"/>
      <c r="J84" s="51"/>
      <c r="K84" s="51"/>
      <c r="L84" s="51"/>
      <c r="M84" s="52"/>
      <c r="N84" s="283"/>
      <c r="O84" s="284"/>
      <c r="P84" s="284"/>
      <c r="Q84" s="284"/>
      <c r="R84" s="284"/>
      <c r="S84" s="284"/>
      <c r="T84" s="284"/>
      <c r="U84" s="284"/>
      <c r="V84" s="284"/>
      <c r="W84" s="284"/>
      <c r="X84" s="285"/>
    </row>
    <row r="85" spans="2:24" ht="26.25" customHeight="1" thickBot="1">
      <c r="B85" s="180" t="s">
        <v>142</v>
      </c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2"/>
      <c r="N85" s="277" t="s">
        <v>52</v>
      </c>
      <c r="O85" s="278"/>
      <c r="P85" s="278"/>
      <c r="Q85" s="278"/>
      <c r="R85" s="278"/>
      <c r="S85" s="278"/>
      <c r="T85" s="278"/>
      <c r="U85" s="278"/>
      <c r="V85" s="278"/>
      <c r="W85" s="278"/>
      <c r="X85" s="279"/>
    </row>
    <row r="86" spans="2:24" ht="26.25" customHeight="1">
      <c r="B86" s="196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8"/>
      <c r="N86" s="205" t="s">
        <v>162</v>
      </c>
      <c r="O86" s="206"/>
      <c r="P86" s="206"/>
      <c r="Q86" s="206"/>
      <c r="R86" s="206"/>
      <c r="S86" s="206"/>
      <c r="T86" s="206"/>
      <c r="U86" s="206"/>
      <c r="V86" s="206"/>
      <c r="W86" s="206"/>
      <c r="X86" s="207"/>
    </row>
    <row r="87" spans="2:24" ht="26.25" customHeight="1">
      <c r="B87" s="199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1"/>
      <c r="N87" s="208"/>
      <c r="O87" s="209"/>
      <c r="P87" s="209"/>
      <c r="Q87" s="209"/>
      <c r="R87" s="209"/>
      <c r="S87" s="209"/>
      <c r="T87" s="209"/>
      <c r="U87" s="209"/>
      <c r="V87" s="209"/>
      <c r="W87" s="209"/>
      <c r="X87" s="210"/>
    </row>
    <row r="88" spans="2:24" ht="26.25" customHeight="1" thickBot="1">
      <c r="B88" s="199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1"/>
      <c r="N88" s="211"/>
      <c r="O88" s="212"/>
      <c r="P88" s="212"/>
      <c r="Q88" s="212"/>
      <c r="R88" s="212"/>
      <c r="S88" s="212"/>
      <c r="T88" s="212"/>
      <c r="U88" s="212"/>
      <c r="V88" s="212"/>
      <c r="W88" s="212"/>
      <c r="X88" s="213"/>
    </row>
    <row r="89" spans="2:24" ht="24.95" customHeight="1" thickBot="1">
      <c r="B89" s="199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1"/>
      <c r="N89" s="214" t="s">
        <v>48</v>
      </c>
      <c r="O89" s="215"/>
      <c r="P89" s="215"/>
      <c r="Q89" s="215"/>
      <c r="R89" s="215"/>
      <c r="S89" s="215"/>
      <c r="T89" s="215"/>
      <c r="U89" s="215"/>
      <c r="V89" s="215"/>
      <c r="W89" s="215"/>
      <c r="X89" s="216"/>
    </row>
    <row r="90" spans="2:24" ht="24.95" customHeight="1">
      <c r="B90" s="199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1"/>
      <c r="N90" s="217" t="s">
        <v>49</v>
      </c>
      <c r="O90" s="191"/>
      <c r="P90" s="192"/>
      <c r="Q90" s="186" t="s">
        <v>50</v>
      </c>
      <c r="R90" s="188" t="s">
        <v>44</v>
      </c>
      <c r="S90" s="188" t="s">
        <v>45</v>
      </c>
      <c r="T90" s="188" t="s">
        <v>46</v>
      </c>
      <c r="U90" s="188" t="s">
        <v>47</v>
      </c>
      <c r="V90" s="190" t="s">
        <v>51</v>
      </c>
      <c r="W90" s="191"/>
      <c r="X90" s="192"/>
    </row>
    <row r="91" spans="2:24" ht="24.95" customHeight="1" thickBot="1">
      <c r="B91" s="199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1"/>
      <c r="N91" s="218"/>
      <c r="O91" s="194"/>
      <c r="P91" s="195"/>
      <c r="Q91" s="187"/>
      <c r="R91" s="189"/>
      <c r="S91" s="189"/>
      <c r="T91" s="189"/>
      <c r="U91" s="189"/>
      <c r="V91" s="193"/>
      <c r="W91" s="194"/>
      <c r="X91" s="195"/>
    </row>
    <row r="92" spans="2:24" ht="24.95" customHeight="1">
      <c r="B92" s="199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1"/>
      <c r="N92" s="228" t="s">
        <v>141</v>
      </c>
      <c r="O92" s="229"/>
      <c r="P92" s="230"/>
      <c r="Q92" s="234"/>
      <c r="R92" s="156"/>
      <c r="S92" s="156">
        <v>2</v>
      </c>
      <c r="T92" s="156"/>
      <c r="U92" s="156"/>
      <c r="V92" s="158">
        <f>SUM(Q92:U93)</f>
        <v>2</v>
      </c>
      <c r="W92" s="159"/>
      <c r="X92" s="160"/>
    </row>
    <row r="93" spans="2:24" ht="24.95" customHeight="1">
      <c r="B93" s="199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1"/>
      <c r="N93" s="231"/>
      <c r="O93" s="232"/>
      <c r="P93" s="233"/>
      <c r="Q93" s="235"/>
      <c r="R93" s="157"/>
      <c r="S93" s="157"/>
      <c r="T93" s="157"/>
      <c r="U93" s="157"/>
      <c r="V93" s="161"/>
      <c r="W93" s="162"/>
      <c r="X93" s="163"/>
    </row>
    <row r="94" spans="2:24" ht="24.95" customHeight="1">
      <c r="B94" s="199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1"/>
      <c r="N94" s="258" t="s">
        <v>64</v>
      </c>
      <c r="O94" s="259"/>
      <c r="P94" s="260"/>
      <c r="Q94" s="264">
        <v>0</v>
      </c>
      <c r="R94" s="266"/>
      <c r="S94" s="266">
        <v>5</v>
      </c>
      <c r="T94" s="266"/>
      <c r="U94" s="266"/>
      <c r="V94" s="241">
        <f t="shared" ref="V94" si="6">SUM(Q94:U95)</f>
        <v>5</v>
      </c>
      <c r="W94" s="242"/>
      <c r="X94" s="243"/>
    </row>
    <row r="95" spans="2:24" ht="24.95" customHeight="1" thickBot="1">
      <c r="B95" s="199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1"/>
      <c r="N95" s="261"/>
      <c r="O95" s="262"/>
      <c r="P95" s="263"/>
      <c r="Q95" s="265"/>
      <c r="R95" s="267"/>
      <c r="S95" s="267"/>
      <c r="T95" s="267"/>
      <c r="U95" s="267"/>
      <c r="V95" s="244"/>
      <c r="W95" s="245"/>
      <c r="X95" s="246"/>
    </row>
    <row r="96" spans="2:24" ht="24.95" customHeight="1">
      <c r="B96" s="199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1"/>
      <c r="N96" s="247" t="s">
        <v>53</v>
      </c>
      <c r="O96" s="248"/>
      <c r="P96" s="248"/>
      <c r="Q96" s="248"/>
      <c r="R96" s="248"/>
      <c r="S96" s="249"/>
      <c r="T96" s="253" t="s">
        <v>35</v>
      </c>
      <c r="U96" s="254"/>
      <c r="V96" s="255" t="s">
        <v>173</v>
      </c>
      <c r="W96" s="256"/>
      <c r="X96" s="257"/>
    </row>
    <row r="97" spans="2:24" ht="24.95" customHeight="1" thickBot="1">
      <c r="B97" s="199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1"/>
      <c r="N97" s="250"/>
      <c r="O97" s="251"/>
      <c r="P97" s="251"/>
      <c r="Q97" s="251"/>
      <c r="R97" s="251"/>
      <c r="S97" s="252"/>
      <c r="T97" s="154" t="s">
        <v>36</v>
      </c>
      <c r="U97" s="155"/>
      <c r="V97" s="164" t="s">
        <v>173</v>
      </c>
      <c r="W97" s="165"/>
      <c r="X97" s="166"/>
    </row>
    <row r="98" spans="2:24" ht="24.95" customHeight="1">
      <c r="B98" s="199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1"/>
      <c r="N98" s="219" t="s">
        <v>74</v>
      </c>
      <c r="O98" s="220"/>
      <c r="P98" s="220"/>
      <c r="Q98" s="220"/>
      <c r="R98" s="220"/>
      <c r="S98" s="221"/>
      <c r="T98" s="154" t="s">
        <v>68</v>
      </c>
      <c r="U98" s="155"/>
      <c r="V98" s="164" t="s">
        <v>82</v>
      </c>
      <c r="W98" s="165"/>
      <c r="X98" s="166"/>
    </row>
    <row r="99" spans="2:24" ht="24.95" customHeight="1">
      <c r="B99" s="199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1"/>
      <c r="N99" s="222"/>
      <c r="O99" s="223"/>
      <c r="P99" s="223"/>
      <c r="Q99" s="223"/>
      <c r="R99" s="223"/>
      <c r="S99" s="224"/>
      <c r="T99" s="154" t="s">
        <v>72</v>
      </c>
      <c r="U99" s="155"/>
      <c r="V99" s="164" t="s">
        <v>81</v>
      </c>
      <c r="W99" s="165"/>
      <c r="X99" s="166"/>
    </row>
    <row r="100" spans="2:24" ht="24.95" customHeight="1" thickBot="1">
      <c r="B100" s="202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4"/>
      <c r="N100" s="225"/>
      <c r="O100" s="226"/>
      <c r="P100" s="226"/>
      <c r="Q100" s="226"/>
      <c r="R100" s="226"/>
      <c r="S100" s="227"/>
      <c r="T100" s="236" t="s">
        <v>43</v>
      </c>
      <c r="U100" s="237"/>
      <c r="V100" s="238" t="s">
        <v>62</v>
      </c>
      <c r="W100" s="239"/>
      <c r="X100" s="240"/>
    </row>
    <row r="101" spans="2:24" ht="24.95" customHeight="1"/>
  </sheetData>
  <mergeCells count="148">
    <mergeCell ref="E29:E30"/>
    <mergeCell ref="F29:F30"/>
    <mergeCell ref="T11:X12"/>
    <mergeCell ref="J12:N12"/>
    <mergeCell ref="C7:F7"/>
    <mergeCell ref="G7:J7"/>
    <mergeCell ref="Q7:X7"/>
    <mergeCell ref="G9:J9"/>
    <mergeCell ref="Q9:X9"/>
    <mergeCell ref="M7:N7"/>
    <mergeCell ref="B10:Q10"/>
    <mergeCell ref="R10:X10"/>
    <mergeCell ref="B11:C12"/>
    <mergeCell ref="D11:D12"/>
    <mergeCell ref="E17:E18"/>
    <mergeCell ref="F17:F18"/>
    <mergeCell ref="E19:E20"/>
    <mergeCell ref="F19:F20"/>
    <mergeCell ref="B1:X1"/>
    <mergeCell ref="K2:L2"/>
    <mergeCell ref="C3:F3"/>
    <mergeCell ref="G3:J3"/>
    <mergeCell ref="K3:P3"/>
    <mergeCell ref="Q3:Q6"/>
    <mergeCell ref="C4:F4"/>
    <mergeCell ref="G4:J4"/>
    <mergeCell ref="W3:X3"/>
    <mergeCell ref="W4:X6"/>
    <mergeCell ref="U4:V6"/>
    <mergeCell ref="U3:V3"/>
    <mergeCell ref="S3:T3"/>
    <mergeCell ref="S4:T6"/>
    <mergeCell ref="R4:R6"/>
    <mergeCell ref="B5:B9"/>
    <mergeCell ref="C8:F8"/>
    <mergeCell ref="G8:J8"/>
    <mergeCell ref="Q8:X8"/>
    <mergeCell ref="C5:F5"/>
    <mergeCell ref="G5:J5"/>
    <mergeCell ref="C6:F6"/>
    <mergeCell ref="G6:J6"/>
    <mergeCell ref="C9:F9"/>
    <mergeCell ref="B73:M73"/>
    <mergeCell ref="O73:Q73"/>
    <mergeCell ref="R73:T73"/>
    <mergeCell ref="U73:X73"/>
    <mergeCell ref="U33:U34"/>
    <mergeCell ref="V33:V34"/>
    <mergeCell ref="W33:W34"/>
    <mergeCell ref="X33:X34"/>
    <mergeCell ref="B71:M71"/>
    <mergeCell ref="N71:X71"/>
    <mergeCell ref="R33:R34"/>
    <mergeCell ref="S33:S34"/>
    <mergeCell ref="T33:T34"/>
    <mergeCell ref="B72:M72"/>
    <mergeCell ref="O72:Q72"/>
    <mergeCell ref="R72:T72"/>
    <mergeCell ref="U72:X72"/>
    <mergeCell ref="P33:P34"/>
    <mergeCell ref="Q33:Q34"/>
    <mergeCell ref="B32:I70"/>
    <mergeCell ref="J33:O34"/>
    <mergeCell ref="J32:X32"/>
    <mergeCell ref="J35:X35"/>
    <mergeCell ref="B74:M74"/>
    <mergeCell ref="O74:Q74"/>
    <mergeCell ref="R74:T74"/>
    <mergeCell ref="U74:X74"/>
    <mergeCell ref="B75:M75"/>
    <mergeCell ref="O75:Q75"/>
    <mergeCell ref="R75:T75"/>
    <mergeCell ref="U75:X75"/>
    <mergeCell ref="B85:M85"/>
    <mergeCell ref="N85:X85"/>
    <mergeCell ref="N79:X84"/>
    <mergeCell ref="B86:M100"/>
    <mergeCell ref="N86:X88"/>
    <mergeCell ref="N89:X89"/>
    <mergeCell ref="N90:P91"/>
    <mergeCell ref="N98:S100"/>
    <mergeCell ref="T98:U98"/>
    <mergeCell ref="V98:X98"/>
    <mergeCell ref="N92:P93"/>
    <mergeCell ref="Q92:Q93"/>
    <mergeCell ref="R92:R93"/>
    <mergeCell ref="T100:U100"/>
    <mergeCell ref="V100:X100"/>
    <mergeCell ref="V94:X95"/>
    <mergeCell ref="N96:S97"/>
    <mergeCell ref="T96:U96"/>
    <mergeCell ref="V96:X96"/>
    <mergeCell ref="T97:U97"/>
    <mergeCell ref="V97:X97"/>
    <mergeCell ref="N94:P95"/>
    <mergeCell ref="Q94:Q95"/>
    <mergeCell ref="R94:R95"/>
    <mergeCell ref="S94:S95"/>
    <mergeCell ref="T94:T95"/>
    <mergeCell ref="U94:U95"/>
    <mergeCell ref="T99:U99"/>
    <mergeCell ref="F21:F22"/>
    <mergeCell ref="E23:E24"/>
    <mergeCell ref="F23:F24"/>
    <mergeCell ref="I11:I12"/>
    <mergeCell ref="S92:S93"/>
    <mergeCell ref="T92:T93"/>
    <mergeCell ref="U92:U93"/>
    <mergeCell ref="V92:X93"/>
    <mergeCell ref="V99:X99"/>
    <mergeCell ref="R76:T76"/>
    <mergeCell ref="O76:Q76"/>
    <mergeCell ref="U76:X76"/>
    <mergeCell ref="B77:M77"/>
    <mergeCell ref="O77:Q77"/>
    <mergeCell ref="U77:X77"/>
    <mergeCell ref="B78:M78"/>
    <mergeCell ref="N78:X78"/>
    <mergeCell ref="Q90:Q91"/>
    <mergeCell ref="R90:R91"/>
    <mergeCell ref="S90:S91"/>
    <mergeCell ref="T90:T91"/>
    <mergeCell ref="U90:U91"/>
    <mergeCell ref="V90:X91"/>
    <mergeCell ref="B31:I31"/>
    <mergeCell ref="T31:X31"/>
    <mergeCell ref="G11:G12"/>
    <mergeCell ref="H11:H12"/>
    <mergeCell ref="S11:S12"/>
    <mergeCell ref="R11:R12"/>
    <mergeCell ref="O12:Q12"/>
    <mergeCell ref="G13:G30"/>
    <mergeCell ref="B13:C30"/>
    <mergeCell ref="D13:D30"/>
    <mergeCell ref="S13:S30"/>
    <mergeCell ref="E15:E16"/>
    <mergeCell ref="E13:E14"/>
    <mergeCell ref="I13:I30"/>
    <mergeCell ref="F13:F14"/>
    <mergeCell ref="F15:F16"/>
    <mergeCell ref="E11:E12"/>
    <mergeCell ref="F11:F12"/>
    <mergeCell ref="T13:X30"/>
    <mergeCell ref="E21:E22"/>
    <mergeCell ref="E25:E26"/>
    <mergeCell ref="F25:F26"/>
    <mergeCell ref="E27:E28"/>
    <mergeCell ref="F27:F28"/>
  </mergeCells>
  <phoneticPr fontId="4" type="noConversion"/>
  <printOptions horizontalCentered="1"/>
  <pageMargins left="0.59055118110236227" right="0" top="1.1811023622047245" bottom="0" header="0.39370078740157483" footer="0"/>
  <pageSetup scale="21" orientation="portrait" horizontalDpi="4294967292" verticalDpi="4294967292" r:id="rId1"/>
  <headerFooter scaleWithDoc="0">
    <oddHeader>&amp;R&amp;D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12.16</vt:lpstr>
      <vt:lpstr>'12.16'!Print_Area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William Lee - Apparel Links</cp:lastModifiedBy>
  <cp:lastPrinted>2024-11-20T00:31:43Z</cp:lastPrinted>
  <dcterms:created xsi:type="dcterms:W3CDTF">2008-03-25T22:48:04Z</dcterms:created>
  <dcterms:modified xsi:type="dcterms:W3CDTF">2025-11-04T23:55:59Z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