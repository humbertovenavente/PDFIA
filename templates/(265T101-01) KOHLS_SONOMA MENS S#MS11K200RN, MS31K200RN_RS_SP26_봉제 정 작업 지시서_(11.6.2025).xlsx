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am Chang-INT\Downloads\"/>
    </mc:Choice>
  </mc:AlternateContent>
  <xr:revisionPtr revIDLastSave="0" documentId="13_ncr:1_{ABE18A21-489F-45F5-8B73-B5E6FFBBB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EW NECK" sheetId="1" r:id="rId1"/>
  </sheets>
  <externalReferences>
    <externalReference r:id="rId2"/>
    <externalReference r:id="rId3"/>
  </externalReferences>
  <definedNames>
    <definedName name="_xlnm._FilterDatabase" localSheetId="0" hidden="1">'CREW NECK'!$A$12:$AG$91</definedName>
    <definedName name="_HIG1">#REF!</definedName>
    <definedName name="_HIG2">#REF!</definedName>
    <definedName name="_HIG3">#REF!</definedName>
    <definedName name="_HIG4">#REF!</definedName>
    <definedName name="_HIG5">#REF!</definedName>
    <definedName name="_LO1">#REF!</definedName>
    <definedName name="_LO2">#REF!</definedName>
    <definedName name="_LO3">#REF!</definedName>
    <definedName name="_LO4">#REF!</definedName>
    <definedName name="_LO5">#REF!</definedName>
    <definedName name="_NO1">#REF!</definedName>
    <definedName name="_NO2">#REF!</definedName>
    <definedName name="_NO3">#REF!</definedName>
    <definedName name="_NO4">#REF!</definedName>
    <definedName name="_NO5">#REF!</definedName>
    <definedName name="_SA1" localSheetId="0">#REF!</definedName>
    <definedName name="_SA1">#REF!</definedName>
    <definedName name="_SA2" localSheetId="0">#REF!</definedName>
    <definedName name="_SA2">#REF!</definedName>
    <definedName name="_SA3" localSheetId="0">#REF!</definedName>
    <definedName name="_SA3">#REF!</definedName>
    <definedName name="_SA4" localSheetId="0">#REF!</definedName>
    <definedName name="_SA4">#REF!</definedName>
    <definedName name="_SA5" localSheetId="0">#REF!</definedName>
    <definedName name="_SA5">#REF!</definedName>
    <definedName name="A" localSheetId="0">#REF!</definedName>
    <definedName name="A">#REF!</definedName>
    <definedName name="cn">#REF!</definedName>
    <definedName name="CT" localSheetId="0">'[1]9COLOR 부속 '!#REF!</definedName>
    <definedName name="CT">'[1]9COLOR 부속 '!#REF!</definedName>
    <definedName name="CTI" localSheetId="0">'[1]9COLOR 부속 '!#REF!</definedName>
    <definedName name="CTI">'[1]9COLOR 부속 '!#REF!</definedName>
    <definedName name="CTII" localSheetId="0">'[1]9COLOR 부속 '!#REF!</definedName>
    <definedName name="CTII">'[1]9COLOR 부속 '!#REF!</definedName>
    <definedName name="CTIII" localSheetId="0">'[1]9COLOR 부속 '!#REF!</definedName>
    <definedName name="CTIII">'[1]9COLOR 부속 '!#REF!</definedName>
    <definedName name="I">#REF!</definedName>
    <definedName name="II">#REF!</definedName>
    <definedName name="III">#REF!</definedName>
    <definedName name="IIII">#REF!</definedName>
    <definedName name="IIIII">#REF!</definedName>
    <definedName name="IIIIII">#REF!</definedName>
    <definedName name="IIIIIII">#REF!</definedName>
    <definedName name="IIIIIIII">#REF!</definedName>
    <definedName name="IIIIIIIII">#REF!</definedName>
    <definedName name="IV">#REF!</definedName>
    <definedName name="k">#REF!</definedName>
    <definedName name="lo">[2]소요량!$L$4</definedName>
    <definedName name="n">#REF!</definedName>
    <definedName name="PC">#REF!</definedName>
    <definedName name="_xlnm.Print_Area" localSheetId="0">'CREW NECK'!$A$1:$S$95</definedName>
    <definedName name="RS">#REF!</definedName>
    <definedName name="SI">#REF!</definedName>
    <definedName name="SII">#REF!</definedName>
    <definedName name="SIII">#REF!</definedName>
    <definedName name="SIIII">#REF!</definedName>
    <definedName name="SIIIII">#REF!</definedName>
    <definedName name="SIIIIII">#REF!</definedName>
    <definedName name="SIIIIIII">#REF!</definedName>
    <definedName name="SIIIIIIIII">#REF!</definedName>
    <definedName name="TI">#REF!</definedName>
    <definedName name="TII">#REF!</definedName>
    <definedName name="TIII">#REF!</definedName>
    <definedName name="TIIII">#REF!</definedName>
    <definedName name="TIIIII">#REF!</definedName>
    <definedName name="TIIIIII">#REF!</definedName>
    <definedName name="TIIIIIII">#REF!</definedName>
    <definedName name="TIIIIIIII">#REF!</definedName>
    <definedName name="TT" localSheetId="0">'[1]9COLOR 부속 '!#REF!</definedName>
    <definedName name="TT">'[1]9COLOR 부속 '!#REF!</definedName>
    <definedName name="TTI" localSheetId="0">'[1]9COLOR 부속 '!#REF!</definedName>
    <definedName name="TTI">'[1]9COLOR 부속 '!#REF!</definedName>
    <definedName name="TTII" localSheetId="0">'[1]9COLOR 부속 '!#REF!</definedName>
    <definedName name="TTII">'[1]9COLOR 부속 '!#REF!</definedName>
    <definedName name="TTIII" localSheetId="0">'[1]9COLOR 부속 '!#REF!</definedName>
    <definedName name="TTIII">'[1]9COLOR 부속 '!#REF!</definedName>
    <definedName name="TT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J57" i="1"/>
  <c r="I57" i="1"/>
  <c r="H57" i="1"/>
  <c r="G57" i="1"/>
  <c r="F57" i="1"/>
  <c r="N56" i="1"/>
  <c r="N55" i="1"/>
  <c r="N54" i="1"/>
  <c r="N53" i="1"/>
  <c r="N52" i="1"/>
  <c r="N51" i="1"/>
  <c r="N50" i="1"/>
  <c r="N49" i="1"/>
  <c r="K48" i="1"/>
  <c r="J48" i="1"/>
  <c r="I48" i="1"/>
  <c r="H48" i="1"/>
  <c r="G48" i="1"/>
  <c r="F48" i="1"/>
  <c r="N47" i="1"/>
  <c r="N46" i="1"/>
  <c r="N45" i="1"/>
  <c r="N44" i="1"/>
  <c r="N43" i="1"/>
  <c r="N42" i="1"/>
  <c r="N41" i="1"/>
  <c r="N40" i="1"/>
  <c r="K39" i="1"/>
  <c r="J39" i="1"/>
  <c r="I39" i="1"/>
  <c r="H39" i="1"/>
  <c r="G39" i="1"/>
  <c r="F39" i="1"/>
  <c r="N38" i="1"/>
  <c r="N37" i="1"/>
  <c r="N36" i="1"/>
  <c r="N35" i="1"/>
  <c r="N34" i="1"/>
  <c r="N33" i="1"/>
  <c r="N32" i="1"/>
  <c r="N31" i="1"/>
  <c r="K30" i="1"/>
  <c r="J30" i="1"/>
  <c r="I30" i="1"/>
  <c r="H30" i="1"/>
  <c r="G30" i="1"/>
  <c r="F30" i="1"/>
  <c r="N29" i="1"/>
  <c r="N28" i="1"/>
  <c r="N27" i="1"/>
  <c r="N26" i="1"/>
  <c r="N25" i="1"/>
  <c r="N24" i="1"/>
  <c r="N23" i="1"/>
  <c r="N22" i="1"/>
  <c r="F21" i="1"/>
  <c r="N39" i="1" l="1"/>
  <c r="N57" i="1"/>
  <c r="N30" i="1"/>
  <c r="N48" i="1"/>
  <c r="F58" i="1"/>
  <c r="N18" i="1"/>
  <c r="N17" i="1"/>
  <c r="K21" i="1"/>
  <c r="K58" i="1" s="1"/>
  <c r="J21" i="1"/>
  <c r="J58" i="1" s="1"/>
  <c r="I21" i="1"/>
  <c r="I58" i="1" s="1"/>
  <c r="H21" i="1"/>
  <c r="H58" i="1" s="1"/>
  <c r="G21" i="1"/>
  <c r="G58" i="1" s="1"/>
  <c r="N20" i="1" l="1"/>
  <c r="N19" i="1"/>
  <c r="N16" i="1" l="1"/>
  <c r="N15" i="1"/>
  <c r="N14" i="1"/>
  <c r="N13" i="1"/>
  <c r="N21" i="1" l="1"/>
  <c r="N58" i="1" s="1"/>
  <c r="C8" i="1" s="1"/>
</calcChain>
</file>

<file path=xl/sharedStrings.xml><?xml version="1.0" encoding="utf-8"?>
<sst xmlns="http://schemas.openxmlformats.org/spreadsheetml/2006/main" count="448" uniqueCount="209">
  <si>
    <t>1.</t>
  </si>
  <si>
    <t>FILE NO.</t>
  </si>
  <si>
    <t>결</t>
  </si>
  <si>
    <t>담당</t>
  </si>
  <si>
    <t>팀장</t>
  </si>
  <si>
    <t>부서 장</t>
  </si>
  <si>
    <t>BUYER</t>
  </si>
  <si>
    <t>STYLE NO.</t>
  </si>
  <si>
    <t>-</t>
  </si>
  <si>
    <t>재</t>
  </si>
  <si>
    <t>품</t>
  </si>
  <si>
    <t>PO NO.</t>
  </si>
  <si>
    <t>VARIOUS</t>
    <phoneticPr fontId="3" type="noConversion"/>
  </si>
  <si>
    <t>3. RIB 부속:</t>
  </si>
  <si>
    <t>WEIGHT</t>
  </si>
  <si>
    <t>150gr/m2</t>
    <phoneticPr fontId="3" type="noConversion"/>
  </si>
  <si>
    <t>Q'TY(PCS)</t>
  </si>
  <si>
    <t>DELIVERY</t>
  </si>
  <si>
    <t>ITEM</t>
  </si>
  <si>
    <r>
      <t xml:space="preserve">          3. COLOR / SIZE   </t>
    </r>
    <r>
      <rPr>
        <sz val="11"/>
        <rFont val="Calibri"/>
        <family val="2"/>
        <scheme val="minor"/>
      </rPr>
      <t>별 수량</t>
    </r>
  </si>
  <si>
    <r>
      <t xml:space="preserve">4. </t>
    </r>
    <r>
      <rPr>
        <sz val="11"/>
        <rFont val="Calibri"/>
        <family val="2"/>
        <scheme val="minor"/>
      </rPr>
      <t>요척</t>
    </r>
  </si>
  <si>
    <t>PO #</t>
  </si>
  <si>
    <t>STYLE#</t>
  </si>
  <si>
    <t>EDI COLORWAY</t>
  </si>
  <si>
    <t>COLOR DEL CUERPO/
NECK TAPE/RIB</t>
  </si>
  <si>
    <t>HEAT
TRANSFER</t>
  </si>
  <si>
    <t>XS</t>
  </si>
  <si>
    <t>S</t>
  </si>
  <si>
    <t>M</t>
  </si>
  <si>
    <t>L</t>
  </si>
  <si>
    <t>XL</t>
  </si>
  <si>
    <t>XXL</t>
  </si>
  <si>
    <t>DELIVERY DATE</t>
  </si>
  <si>
    <t>TOTAL</t>
  </si>
  <si>
    <t>1. BODY</t>
  </si>
  <si>
    <t>YD/DZ</t>
  </si>
  <si>
    <t>(Loss 2 % 포함)</t>
  </si>
  <si>
    <t>MS11K200RN</t>
  </si>
  <si>
    <t>MD CHAR H (021)</t>
  </si>
  <si>
    <t>WHITE</t>
  </si>
  <si>
    <t>2. RIB</t>
  </si>
  <si>
    <t>(Loss  2 % 포함)</t>
  </si>
  <si>
    <t>3.   봉제 공임(MANO DE OBRA)</t>
  </si>
  <si>
    <t>MS11K200RS</t>
  </si>
  <si>
    <t>NEW BLACK (001)</t>
  </si>
  <si>
    <t>NEW WHITE (100)</t>
  </si>
  <si>
    <t>GREY</t>
  </si>
  <si>
    <t>SUB TOTAL</t>
  </si>
  <si>
    <t>GRAND TOTAL</t>
  </si>
  <si>
    <t>POM</t>
  </si>
  <si>
    <t>DESCRIPTION</t>
  </si>
  <si>
    <t>REGULAR SIZE</t>
  </si>
  <si>
    <t>A122</t>
  </si>
  <si>
    <t>*MIN. HEAD STRETCH</t>
  </si>
  <si>
    <t>A300</t>
  </si>
  <si>
    <t>LEN HPS TO HEM</t>
  </si>
  <si>
    <t>27 1/2</t>
  </si>
  <si>
    <t>28 1/2</t>
  </si>
  <si>
    <t>30 1/2</t>
  </si>
  <si>
    <t>A151</t>
  </si>
  <si>
    <t>FORWARD SHLDR SEAM @HPS-STRAIGHT</t>
  </si>
  <si>
    <t>1/2</t>
  </si>
  <si>
    <t>A100</t>
  </si>
  <si>
    <t>*NK WIDTH @ SEAM</t>
  </si>
  <si>
    <t>6 1/2</t>
  </si>
  <si>
    <t>6 3/4</t>
  </si>
  <si>
    <t>7 1/4</t>
  </si>
  <si>
    <t>7 1/2</t>
  </si>
  <si>
    <t>7 3/4</t>
  </si>
  <si>
    <t>A110</t>
  </si>
  <si>
    <t>_FRT NK DROP @ SEAM</t>
  </si>
  <si>
    <t>4 3/8</t>
  </si>
  <si>
    <t>4 1/2</t>
  </si>
  <si>
    <t>4 5/8</t>
  </si>
  <si>
    <t>4 3/4</t>
  </si>
  <si>
    <t>4 7/8</t>
  </si>
  <si>
    <t>A120</t>
  </si>
  <si>
    <t>_BK NK DROP @ SEAM</t>
  </si>
  <si>
    <t>3/4</t>
  </si>
  <si>
    <t>7/8</t>
  </si>
  <si>
    <t>A124</t>
  </si>
  <si>
    <t>NK TRIM HGT</t>
  </si>
  <si>
    <t>5/8</t>
  </si>
  <si>
    <t>A250</t>
  </si>
  <si>
    <t>*ACROSS SHLDR</t>
  </si>
  <si>
    <t>16 1/2</t>
  </si>
  <si>
    <t>17 3/4</t>
  </si>
  <si>
    <t>18 1/2</t>
  </si>
  <si>
    <t>A253</t>
  </si>
  <si>
    <t>_ACROSS FRT/BK PLCMT FRM HPS</t>
  </si>
  <si>
    <t>8 1/4</t>
  </si>
  <si>
    <t>A254</t>
  </si>
  <si>
    <t>_ACROSS FRT</t>
  </si>
  <si>
    <t>15 1/2</t>
  </si>
  <si>
    <t>A255</t>
  </si>
  <si>
    <t>_ACROSS BK</t>
  </si>
  <si>
    <t>18 1/8</t>
  </si>
  <si>
    <t>A260H</t>
  </si>
  <si>
    <t>*CHEST 1" BLW AH RLXD-1/2 MEAS.</t>
  </si>
  <si>
    <t>18 3/4</t>
  </si>
  <si>
    <t>20 1/2</t>
  </si>
  <si>
    <t>A290H</t>
  </si>
  <si>
    <t>*SWEEP RLXD @ EDGE-1/2 MEAS</t>
  </si>
  <si>
    <t>A568</t>
  </si>
  <si>
    <t>BTTM HEM HGHT</t>
  </si>
  <si>
    <t>A330</t>
  </si>
  <si>
    <t>*AH DROP FRM HPS</t>
  </si>
  <si>
    <t>10 1/4</t>
  </si>
  <si>
    <t>10 1/2</t>
  </si>
  <si>
    <t>10 3/4</t>
  </si>
  <si>
    <t>11 1/4</t>
  </si>
  <si>
    <t>A352H-1B</t>
  </si>
  <si>
    <t>SLV OPENING RLXD-1/2 MEAS S/SLV</t>
  </si>
  <si>
    <t>A359</t>
  </si>
  <si>
    <t>SLV HEM HGHT</t>
  </si>
  <si>
    <t>A150</t>
  </si>
  <si>
    <t>SHLDR SLOPE - DEV ONLY</t>
  </si>
  <si>
    <t>A341</t>
  </si>
  <si>
    <t>SLV CAP HEIGHT-DEV ONLY</t>
  </si>
  <si>
    <t>5 5/8</t>
  </si>
  <si>
    <t>A341A</t>
  </si>
  <si>
    <t>SLV CAP WIDTH AT 3 1/2" FROM SHOULDER PT</t>
  </si>
  <si>
    <r>
      <t xml:space="preserve">7. </t>
    </r>
    <r>
      <rPr>
        <sz val="11"/>
        <rFont val="Calibri"/>
        <family val="2"/>
        <scheme val="minor"/>
      </rPr>
      <t>작업시 유의사항</t>
    </r>
  </si>
  <si>
    <t>DETALLES DE CONSTRUCCION</t>
    <phoneticPr fontId="3" type="noConversion"/>
  </si>
  <si>
    <t>위탁자</t>
  </si>
  <si>
    <t>수탁 공장명</t>
  </si>
  <si>
    <t>LLEVA BACK NECK TAPE CLEAN SET CON 301 2NTS, Y SE EXTIENDE DE HOMBRO A HOMBRO.</t>
  </si>
  <si>
    <t>TOL</t>
  </si>
  <si>
    <t>(-/+)</t>
  </si>
  <si>
    <t>1/8</t>
  </si>
  <si>
    <t>1/4</t>
  </si>
  <si>
    <t>3/8</t>
  </si>
  <si>
    <t>KOHL'S SONOMA MEN'S</t>
  </si>
  <si>
    <t xml:space="preserve">               2. 원자재 사항</t>
  </si>
  <si>
    <r>
      <rPr>
        <sz val="16"/>
        <rFont val="Calibri"/>
        <family val="2"/>
        <scheme val="minor"/>
      </rPr>
      <t>제</t>
    </r>
  </si>
  <si>
    <r>
      <rPr>
        <sz val="16"/>
        <rFont val="Calibri"/>
        <family val="2"/>
        <scheme val="minor"/>
      </rPr>
      <t>사</t>
    </r>
  </si>
  <si>
    <r>
      <rPr>
        <sz val="16"/>
        <rFont val="Calibri"/>
        <family val="2"/>
        <scheme val="minor"/>
      </rPr>
      <t>항</t>
    </r>
  </si>
  <si>
    <r>
      <t xml:space="preserve">BODY </t>
    </r>
    <r>
      <rPr>
        <sz val="16"/>
        <rFont val="Calibri"/>
        <family val="2"/>
        <scheme val="minor"/>
      </rPr>
      <t>원단 폭</t>
    </r>
  </si>
  <si>
    <r>
      <t xml:space="preserve">Rib </t>
    </r>
    <r>
      <rPr>
        <sz val="16"/>
        <rFont val="Calibri"/>
        <family val="2"/>
        <scheme val="minor"/>
      </rPr>
      <t>원단 폭</t>
    </r>
  </si>
  <si>
    <t>MENS SS CREW NECK TEE</t>
  </si>
  <si>
    <t>SLV LEN FROM CB NK-S/SLV</t>
  </si>
  <si>
    <t>A360-1B</t>
  </si>
  <si>
    <t>6 5/8</t>
  </si>
  <si>
    <t>16 3/4</t>
  </si>
  <si>
    <t>17 1/2</t>
  </si>
  <si>
    <t>19 1/4</t>
  </si>
  <si>
    <t>16 1/4</t>
  </si>
  <si>
    <t>17 1/4</t>
  </si>
  <si>
    <t>7 3/8</t>
  </si>
  <si>
    <t>70/72"</t>
  </si>
  <si>
    <t>74"</t>
  </si>
  <si>
    <r>
      <rPr>
        <b/>
        <u/>
        <sz val="22"/>
        <color rgb="FFC00000"/>
        <rFont val="Calibri"/>
        <family val="2"/>
        <scheme val="minor"/>
      </rPr>
      <t xml:space="preserve">CUELLO:
</t>
    </r>
    <r>
      <rPr>
        <sz val="22"/>
        <rFont val="Calibri"/>
        <family val="2"/>
        <scheme val="minor"/>
      </rPr>
      <t>TELA 1X1 RIB, CON DOBLE DOBLEZ SET-IN CIRCULAR.
EL MITER VA A 1/2" ATRAS DEL DOBLEZ EN EL HPS DEL LADO IZQUIERDO DEL PORTADOR (W.L.). 
APLICAR 401 1/16" SNCS ABAJO DEL CUELLO.</t>
    </r>
  </si>
  <si>
    <r>
      <rPr>
        <b/>
        <u/>
        <sz val="22"/>
        <color rgb="FFC00000"/>
        <rFont val="Calibri"/>
        <family val="2"/>
        <scheme val="minor"/>
      </rPr>
      <t xml:space="preserve">MANGA Y RUEDO DE FONDO:
</t>
    </r>
    <r>
      <rPr>
        <sz val="22"/>
        <rFont val="Calibri"/>
        <family val="2"/>
        <scheme val="minor"/>
      </rPr>
      <t>SINGLE TURN, SET CIRCULAR CON 406 2NC DE 1/4".</t>
    </r>
  </si>
  <si>
    <t>2. BODY 2:</t>
  </si>
  <si>
    <t>CVC 30'S (60/40) SINGLE JERSEY</t>
  </si>
  <si>
    <t>CVC 30'S (60/40) 1X1 RIB</t>
  </si>
  <si>
    <t>1. BODY 1:</t>
  </si>
  <si>
    <t>NEW BLACK [DUO]</t>
  </si>
  <si>
    <t>작성자: CLAUDIA NOJ</t>
  </si>
  <si>
    <t>MINERAL NAVY [DUO]</t>
  </si>
  <si>
    <t>FOREST NIGHT [DUO]</t>
  </si>
  <si>
    <t>BURNT CHERRY  [DUO]</t>
  </si>
  <si>
    <t>BRNT CHERY (601)</t>
  </si>
  <si>
    <t>FOREST NGT (300)</t>
  </si>
  <si>
    <t>MINERL NVY (401)</t>
  </si>
  <si>
    <t>NEW WHITE [CSD]</t>
  </si>
  <si>
    <t>29 1/4</t>
  </si>
  <si>
    <t>16 7/8</t>
  </si>
  <si>
    <t>19 1/2</t>
  </si>
  <si>
    <t>14 5/8</t>
  </si>
  <si>
    <t>18 1/4</t>
  </si>
  <si>
    <t>15 5/8</t>
  </si>
  <si>
    <t>11 5/8</t>
  </si>
  <si>
    <t>18 7/8</t>
  </si>
  <si>
    <t>19 5/8</t>
  </si>
  <si>
    <t>6 1/4</t>
  </si>
  <si>
    <t>7 7/8</t>
  </si>
  <si>
    <t>8 3/8</t>
  </si>
  <si>
    <t xml:space="preserve"> 5. MEASUREMENT SPECIFICATION</t>
  </si>
  <si>
    <t>APPAREL LINKS, S.A.</t>
  </si>
  <si>
    <t>Km 17.5 Carretera a San Juan Sacatepequez</t>
  </si>
  <si>
    <t xml:space="preserve">Bodega 1, 2 y 10, Zona 6, Condominio Industrial                </t>
  </si>
  <si>
    <t xml:space="preserve">Alfa San Juan Mixco, Guatemala </t>
  </si>
  <si>
    <r>
      <rPr>
        <b/>
        <u/>
        <sz val="22"/>
        <color rgb="FFC00000"/>
        <rFont val="Calibri"/>
        <family val="2"/>
        <scheme val="minor"/>
      </rPr>
      <t>SHOULDER:</t>
    </r>
    <r>
      <rPr>
        <b/>
        <u/>
        <sz val="22"/>
        <rFont val="Calibri"/>
        <family val="2"/>
        <scheme val="minor"/>
      </rPr>
      <t xml:space="preserve">
</t>
    </r>
    <r>
      <rPr>
        <sz val="22"/>
        <rFont val="Calibri"/>
        <family val="2"/>
        <scheme val="minor"/>
      </rPr>
      <t>SHOULDER TO SHOULDER</t>
    </r>
  </si>
  <si>
    <r>
      <rPr>
        <b/>
        <u/>
        <sz val="18"/>
        <color rgb="FFC00000"/>
        <rFont val="Calibri"/>
        <family val="2"/>
        <scheme val="minor"/>
      </rPr>
      <t>HEAT TRANSFER:</t>
    </r>
    <r>
      <rPr>
        <sz val="18"/>
        <rFont val="Calibri"/>
        <family val="2"/>
        <scheme val="minor"/>
      </rPr>
      <t xml:space="preserve"> 1/2" ABAJO DESDE CB</t>
    </r>
  </si>
  <si>
    <r>
      <t xml:space="preserve">                               WHITE                                                              </t>
    </r>
    <r>
      <rPr>
        <b/>
        <sz val="20"/>
        <color rgb="FF0000FF"/>
        <rFont val="Calibri"/>
        <family val="2"/>
        <scheme val="minor"/>
      </rPr>
      <t xml:space="preserve">   GREY</t>
    </r>
  </si>
  <si>
    <r>
      <rPr>
        <b/>
        <u/>
        <sz val="18"/>
        <color rgb="FFC00000"/>
        <rFont val="Calibri"/>
        <family val="2"/>
        <scheme val="minor"/>
      </rPr>
      <t xml:space="preserve">CARE LABEL (IMAGEN SOLO REFERENCIA): </t>
    </r>
    <r>
      <rPr>
        <b/>
        <sz val="18"/>
        <color rgb="FFC00000"/>
        <rFont val="Calibri"/>
        <family val="2"/>
        <scheme val="minor"/>
      </rPr>
      <t xml:space="preserve">
</t>
    </r>
    <r>
      <rPr>
        <sz val="18"/>
        <rFont val="Calibri"/>
        <family val="2"/>
        <scheme val="minor"/>
      </rPr>
      <t>2 1/2" DESDE EL RUEDO CONFECCIONADO</t>
    </r>
  </si>
  <si>
    <r>
      <rPr>
        <b/>
        <u/>
        <sz val="18"/>
        <color rgb="FFC00000"/>
        <rFont val="Calibri"/>
        <family val="2"/>
        <scheme val="minor"/>
      </rPr>
      <t>TRACKING LABEL (IMAGEN SOLO REFERENCIA):</t>
    </r>
    <r>
      <rPr>
        <b/>
        <sz val="18"/>
        <color rgb="FFC00000"/>
        <rFont val="Calibri"/>
        <family val="2"/>
        <scheme val="minor"/>
      </rPr>
      <t xml:space="preserve"> 
</t>
    </r>
    <r>
      <rPr>
        <sz val="18"/>
        <rFont val="Calibri"/>
        <family val="2"/>
        <scheme val="minor"/>
      </rPr>
      <t>2 1/2" DESDE EL RUEDO CONFECCIONADO</t>
    </r>
  </si>
  <si>
    <r>
      <t>KOHL'S SONOMA MEN'S_</t>
    </r>
    <r>
      <rPr>
        <b/>
        <sz val="35"/>
        <color rgb="FF0000FF"/>
        <rFont val="Calibri"/>
        <family val="2"/>
        <scheme val="minor"/>
      </rPr>
      <t>SS CREW TEE</t>
    </r>
    <r>
      <rPr>
        <b/>
        <sz val="35"/>
        <rFont val="Calibri"/>
        <family val="2"/>
        <scheme val="minor"/>
      </rPr>
      <t>_F#265T101-01_</t>
    </r>
    <r>
      <rPr>
        <b/>
        <sz val="35"/>
        <color rgb="FFFF0000"/>
        <rFont val="Calibri"/>
        <family val="2"/>
        <scheme val="minor"/>
      </rPr>
      <t xml:space="preserve">SP26 </t>
    </r>
    <r>
      <rPr>
        <b/>
        <sz val="35"/>
        <rFont val="Calibri"/>
        <family val="2"/>
        <scheme val="minor"/>
      </rPr>
      <t xml:space="preserve">봉제 정 작업지시서 </t>
    </r>
    <r>
      <rPr>
        <b/>
        <sz val="35"/>
        <color rgb="FFFF0000"/>
        <rFont val="Calibri"/>
        <family val="2"/>
        <scheme val="minor"/>
      </rPr>
      <t>(ACTUAL)</t>
    </r>
  </si>
  <si>
    <t>265T101-01</t>
  </si>
  <si>
    <t>MS11K200, MS31K200 RS/RN</t>
  </si>
  <si>
    <r>
      <t xml:space="preserve">16002545
</t>
    </r>
    <r>
      <rPr>
        <b/>
        <sz val="24"/>
        <color rgb="FF0000FF"/>
        <rFont val="Calibri"/>
        <family val="2"/>
        <scheme val="minor"/>
      </rPr>
      <t>PPK</t>
    </r>
    <r>
      <rPr>
        <b/>
        <sz val="24"/>
        <color rgb="FFFF0000"/>
        <rFont val="Calibri"/>
        <family val="2"/>
        <scheme val="minor"/>
      </rPr>
      <t xml:space="preserve">
8 PCS</t>
    </r>
  </si>
  <si>
    <t>DARK SKY (420)</t>
  </si>
  <si>
    <t>GRACEFL BG (270)</t>
  </si>
  <si>
    <t>DARK SKY [DUO]</t>
  </si>
  <si>
    <t xml:space="preserve"> GRACEFUL BEIGE [CSD]</t>
  </si>
  <si>
    <t>JAN 13
EX FACT</t>
  </si>
  <si>
    <r>
      <t xml:space="preserve">16002406
</t>
    </r>
    <r>
      <rPr>
        <b/>
        <sz val="24"/>
        <color rgb="FF0000FF"/>
        <rFont val="Calibri"/>
        <family val="2"/>
        <scheme val="minor"/>
      </rPr>
      <t>BULK</t>
    </r>
    <r>
      <rPr>
        <b/>
        <sz val="24"/>
        <color rgb="FFFF0000"/>
        <rFont val="Calibri"/>
        <family val="2"/>
        <scheme val="minor"/>
      </rPr>
      <t xml:space="preserve">
10 PCS</t>
    </r>
  </si>
  <si>
    <t>MS31K200RN</t>
  </si>
  <si>
    <t>MS31K200RS</t>
  </si>
  <si>
    <t>MD CHAR H [CSD]</t>
  </si>
  <si>
    <r>
      <t xml:space="preserve">16002549
</t>
    </r>
    <r>
      <rPr>
        <b/>
        <sz val="24"/>
        <color rgb="FF0000FF"/>
        <rFont val="Calibri"/>
        <family val="2"/>
        <scheme val="minor"/>
      </rPr>
      <t>BULK</t>
    </r>
    <r>
      <rPr>
        <b/>
        <sz val="24"/>
        <color rgb="FFFF0000"/>
        <rFont val="Calibri"/>
        <family val="2"/>
        <scheme val="minor"/>
      </rPr>
      <t xml:space="preserve">
10 PCS</t>
    </r>
  </si>
  <si>
    <t>JAN 20
EX FACT</t>
  </si>
  <si>
    <r>
      <t xml:space="preserve">16002408
</t>
    </r>
    <r>
      <rPr>
        <b/>
        <sz val="24"/>
        <color rgb="FF0000FF"/>
        <rFont val="Calibri"/>
        <family val="2"/>
        <scheme val="minor"/>
      </rPr>
      <t>BULK</t>
    </r>
    <r>
      <rPr>
        <b/>
        <sz val="24"/>
        <color rgb="FFFF0000"/>
        <rFont val="Calibri"/>
        <family val="2"/>
        <scheme val="minor"/>
      </rPr>
      <t xml:space="preserve">
10 PCS</t>
    </r>
  </si>
  <si>
    <t>JAN 27
EX FACT</t>
  </si>
  <si>
    <r>
      <t xml:space="preserve">16002409
</t>
    </r>
    <r>
      <rPr>
        <b/>
        <sz val="24"/>
        <color rgb="FF0000FF"/>
        <rFont val="Calibri"/>
        <family val="2"/>
        <scheme val="minor"/>
      </rPr>
      <t>BULK</t>
    </r>
    <r>
      <rPr>
        <b/>
        <sz val="24"/>
        <color rgb="FFFF0000"/>
        <rFont val="Calibri"/>
        <family val="2"/>
        <scheme val="minor"/>
      </rPr>
      <t xml:space="preserve">
10 PCS</t>
    </r>
  </si>
  <si>
    <t>FEB 3
EX FACT</t>
  </si>
  <si>
    <t>TRINIDAD APPAREL, S.A.</t>
  </si>
  <si>
    <t>1/13/2026-2/03/2026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</si>
</sst>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₩&quot;* #,##0.00_-;\-&quot;₩&quot;* #,##0.00_-;_-&quot;₩&quot;* &quot;-&quot;??_-;_-@_-"/>
    <numFmt numFmtId="164" formatCode="_(* #,##0.00_);_(* \(#,##0.00\);_(* &quot;-&quot;??_);_(@_)"/>
    <numFmt numFmtId="165" formatCode="mm/dd/yy;@"/>
    <numFmt numFmtId="166" formatCode="mm&quot;월&quot;\ dd&quot;일&quot;"/>
    <numFmt numFmtId="167" formatCode="#,##0&quot; gr/m2&quot;"/>
    <numFmt numFmtId="168" formatCode="\$#,##0.00;[Red]\-\$#,##0.00"/>
    <numFmt numFmtId="169" formatCode="_-[$$-409]* #,##0.00_ ;_-[$$-409]* \-#,##0.00\ ;_-[$$-409]* &quot;-&quot;??_ ;_-@_ "/>
    <numFmt numFmtId="170" formatCode="#,###\ &quot;pcs&quot;"/>
    <numFmt numFmtId="171" formatCode="yyyy/mm/dd;@"/>
  </numFmts>
  <fonts count="5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b/>
      <sz val="13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9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5"/>
      <color theme="9" tint="-0.249977111117893"/>
      <name val="Calibri"/>
      <family val="2"/>
      <scheme val="minor"/>
    </font>
    <font>
      <b/>
      <u/>
      <sz val="18"/>
      <color rgb="FFC00000"/>
      <name val="Calibri"/>
      <family val="2"/>
      <scheme val="minor"/>
    </font>
    <font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35"/>
      <name val="Calibri"/>
      <family val="2"/>
      <scheme val="minor"/>
    </font>
    <font>
      <b/>
      <sz val="35"/>
      <color rgb="FF0000FF"/>
      <name val="Calibri"/>
      <family val="2"/>
      <scheme val="minor"/>
    </font>
    <font>
      <b/>
      <sz val="35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00FF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22"/>
      <color rgb="FF0000CC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0"/>
      <color rgb="FFC00000"/>
      <name val="Calibri"/>
      <family val="2"/>
      <scheme val="minor"/>
    </font>
    <font>
      <b/>
      <sz val="27"/>
      <color rgb="FFC0000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8" tint="-0.249977111117893"/>
      <name val="Calibri"/>
      <family val="2"/>
      <scheme val="minor"/>
    </font>
    <font>
      <b/>
      <sz val="23"/>
      <color rgb="FF0000CC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33"/>
      <color rgb="FFFF0000"/>
      <name val="Calibri"/>
      <family val="2"/>
      <scheme val="minor"/>
    </font>
    <font>
      <b/>
      <sz val="33"/>
      <color rgb="FF0000CC"/>
      <name val="Calibri"/>
      <family val="2"/>
      <scheme val="minor"/>
    </font>
    <font>
      <b/>
      <u/>
      <sz val="22"/>
      <color rgb="FFC00000"/>
      <name val="Calibri"/>
      <family val="2"/>
      <scheme val="minor"/>
    </font>
    <font>
      <b/>
      <u/>
      <sz val="22"/>
      <name val="Calibri"/>
      <family val="2"/>
      <scheme val="minor"/>
    </font>
    <font>
      <b/>
      <sz val="20"/>
      <color rgb="FF0000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324">
    <xf numFmtId="0" fontId="0" fillId="0" borderId="0" xfId="0">
      <alignment vertical="center"/>
    </xf>
    <xf numFmtId="2" fontId="7" fillId="0" borderId="17" xfId="2" applyNumberFormat="1" applyFont="1" applyBorder="1" applyAlignment="1">
      <alignment horizontal="left" vertical="center"/>
    </xf>
    <xf numFmtId="0" fontId="7" fillId="0" borderId="17" xfId="2" applyFont="1" applyBorder="1" applyAlignment="1">
      <alignment vertical="center"/>
    </xf>
    <xf numFmtId="0" fontId="7" fillId="0" borderId="18" xfId="2" applyFont="1" applyBorder="1" applyAlignment="1">
      <alignment horizontal="left" vertical="center"/>
    </xf>
    <xf numFmtId="0" fontId="7" fillId="4" borderId="37" xfId="2" applyFont="1" applyFill="1" applyBorder="1" applyAlignment="1">
      <alignment horizontal="left" vertical="center"/>
    </xf>
    <xf numFmtId="0" fontId="7" fillId="0" borderId="19" xfId="2" applyFont="1" applyBorder="1" applyAlignment="1">
      <alignment horizontal="left" vertical="center"/>
    </xf>
    <xf numFmtId="0" fontId="7" fillId="0" borderId="18" xfId="2" applyFont="1" applyBorder="1" applyAlignment="1">
      <alignment vertical="center"/>
    </xf>
    <xf numFmtId="0" fontId="5" fillId="0" borderId="36" xfId="2" applyFont="1" applyBorder="1" applyAlignment="1">
      <alignment horizontal="left" vertical="center"/>
    </xf>
    <xf numFmtId="0" fontId="10" fillId="0" borderId="5" xfId="2" applyFont="1" applyBorder="1" applyAlignment="1">
      <alignment horizontal="left" vertical="center"/>
    </xf>
    <xf numFmtId="166" fontId="7" fillId="0" borderId="2" xfId="2" applyNumberFormat="1" applyFont="1" applyBorder="1" applyAlignment="1">
      <alignment horizontal="center" vertical="center"/>
    </xf>
    <xf numFmtId="0" fontId="7" fillId="0" borderId="5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0" fontId="7" fillId="0" borderId="5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vertical="center"/>
    </xf>
    <xf numFmtId="0" fontId="11" fillId="2" borderId="12" xfId="2" applyFont="1" applyFill="1" applyBorder="1" applyAlignment="1">
      <alignment horizontal="left" vertical="center"/>
    </xf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7" fillId="0" borderId="27" xfId="2" applyFont="1" applyBorder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5" fillId="0" borderId="27" xfId="2" applyFont="1" applyBorder="1" applyAlignment="1">
      <alignment horizontal="center" vertical="center"/>
    </xf>
    <xf numFmtId="0" fontId="10" fillId="0" borderId="17" xfId="2" applyFont="1" applyBorder="1" applyAlignment="1">
      <alignment horizontal="left" vertical="center"/>
    </xf>
    <xf numFmtId="0" fontId="10" fillId="0" borderId="17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0" fontId="13" fillId="0" borderId="5" xfId="2" applyFont="1" applyBorder="1" applyAlignment="1">
      <alignment horizontal="left" vertical="center"/>
    </xf>
    <xf numFmtId="0" fontId="13" fillId="0" borderId="27" xfId="2" applyFont="1" applyBorder="1" applyAlignment="1">
      <alignment horizontal="center" vertical="center"/>
    </xf>
    <xf numFmtId="0" fontId="7" fillId="2" borderId="67" xfId="2" applyFont="1" applyFill="1" applyBorder="1" applyAlignment="1">
      <alignment horizontal="center" vertical="center"/>
    </xf>
    <xf numFmtId="0" fontId="9" fillId="0" borderId="18" xfId="2" applyFont="1" applyBorder="1" applyAlignment="1">
      <alignment vertical="center" wrapText="1"/>
    </xf>
    <xf numFmtId="0" fontId="7" fillId="0" borderId="17" xfId="2" applyFont="1" applyBorder="1" applyAlignment="1">
      <alignment horizontal="center" vertical="center"/>
    </xf>
    <xf numFmtId="0" fontId="10" fillId="2" borderId="2" xfId="2" applyFont="1" applyFill="1" applyBorder="1" applyAlignment="1">
      <alignment horizontal="center" vertical="center"/>
    </xf>
    <xf numFmtId="0" fontId="10" fillId="2" borderId="2" xfId="2" applyFont="1" applyFill="1" applyBorder="1" applyAlignment="1">
      <alignment vertical="center"/>
    </xf>
    <xf numFmtId="0" fontId="5" fillId="0" borderId="12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6" fillId="3" borderId="0" xfId="2" applyFont="1" applyFill="1" applyAlignment="1">
      <alignment vertical="center"/>
    </xf>
    <xf numFmtId="0" fontId="11" fillId="3" borderId="0" xfId="2" applyFont="1" applyFill="1" applyAlignment="1">
      <alignment vertical="center"/>
    </xf>
    <xf numFmtId="0" fontId="11" fillId="3" borderId="0" xfId="2" applyFont="1" applyFill="1" applyAlignment="1">
      <alignment horizontal="center" vertical="center"/>
    </xf>
    <xf numFmtId="0" fontId="5" fillId="3" borderId="27" xfId="2" applyFont="1" applyFill="1" applyBorder="1" applyAlignment="1">
      <alignment vertical="center"/>
    </xf>
    <xf numFmtId="0" fontId="6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5" fillId="0" borderId="0" xfId="2" applyFont="1" applyAlignment="1">
      <alignment horizontal="left" vertical="center" wrapText="1"/>
    </xf>
    <xf numFmtId="0" fontId="16" fillId="0" borderId="27" xfId="2" applyFont="1" applyBorder="1" applyAlignment="1">
      <alignment vertical="center" wrapText="1"/>
    </xf>
    <xf numFmtId="0" fontId="8" fillId="0" borderId="0" xfId="2" applyFont="1" applyAlignment="1">
      <alignment vertical="center"/>
    </xf>
    <xf numFmtId="0" fontId="18" fillId="0" borderId="0" xfId="2" applyFont="1" applyAlignment="1">
      <alignment vertical="center" wrapText="1"/>
    </xf>
    <xf numFmtId="0" fontId="19" fillId="0" borderId="0" xfId="2" applyFont="1" applyAlignment="1">
      <alignment vertical="center" wrapText="1"/>
    </xf>
    <xf numFmtId="0" fontId="19" fillId="0" borderId="27" xfId="2" applyFont="1" applyBorder="1" applyAlignment="1">
      <alignment vertical="center" wrapText="1"/>
    </xf>
    <xf numFmtId="0" fontId="20" fillId="0" borderId="0" xfId="2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5" fillId="0" borderId="5" xfId="2" applyFont="1" applyBorder="1" applyAlignment="1">
      <alignment vertical="center"/>
    </xf>
    <xf numFmtId="0" fontId="19" fillId="0" borderId="5" xfId="2" applyFont="1" applyBorder="1" applyAlignment="1">
      <alignment vertical="center" wrapText="1"/>
    </xf>
    <xf numFmtId="0" fontId="7" fillId="0" borderId="29" xfId="2" applyFont="1" applyBorder="1" applyAlignment="1">
      <alignment horizontal="center" vertical="center"/>
    </xf>
    <xf numFmtId="0" fontId="7" fillId="0" borderId="29" xfId="2" applyFont="1" applyBorder="1" applyAlignment="1">
      <alignment vertical="center"/>
    </xf>
    <xf numFmtId="0" fontId="7" fillId="0" borderId="30" xfId="2" applyFont="1" applyBorder="1" applyAlignment="1">
      <alignment vertical="center"/>
    </xf>
    <xf numFmtId="0" fontId="4" fillId="0" borderId="17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8" fillId="0" borderId="17" xfId="2" applyFont="1" applyBorder="1" applyAlignment="1">
      <alignment horizontal="left" vertical="center"/>
    </xf>
    <xf numFmtId="0" fontId="8" fillId="0" borderId="17" xfId="2" applyFont="1" applyBorder="1" applyAlignment="1">
      <alignment vertical="center"/>
    </xf>
    <xf numFmtId="0" fontId="4" fillId="0" borderId="44" xfId="2" applyFont="1" applyBorder="1" applyAlignment="1">
      <alignment horizontal="left" vertical="center"/>
    </xf>
    <xf numFmtId="0" fontId="4" fillId="0" borderId="44" xfId="2" applyFont="1" applyBorder="1" applyAlignment="1">
      <alignment vertical="center"/>
    </xf>
    <xf numFmtId="0" fontId="8" fillId="0" borderId="17" xfId="2" quotePrefix="1" applyFont="1" applyBorder="1" applyAlignment="1">
      <alignment vertical="center"/>
    </xf>
    <xf numFmtId="0" fontId="11" fillId="2" borderId="12" xfId="2" applyFont="1" applyFill="1" applyBorder="1" applyAlignment="1">
      <alignment vertical="center"/>
    </xf>
    <xf numFmtId="0" fontId="12" fillId="0" borderId="14" xfId="2" applyFont="1" applyBorder="1" applyAlignment="1">
      <alignment horizontal="left" vertical="center"/>
    </xf>
    <xf numFmtId="0" fontId="21" fillId="0" borderId="14" xfId="2" applyFont="1" applyBorder="1" applyAlignment="1">
      <alignment vertical="center" wrapText="1"/>
    </xf>
    <xf numFmtId="0" fontId="21" fillId="0" borderId="0" xfId="2" applyFont="1" applyAlignment="1">
      <alignment vertical="center" wrapText="1"/>
    </xf>
    <xf numFmtId="0" fontId="21" fillId="0" borderId="4" xfId="2" applyFont="1" applyBorder="1" applyAlignment="1">
      <alignment vertical="center" wrapText="1"/>
    </xf>
    <xf numFmtId="0" fontId="21" fillId="0" borderId="5" xfId="2" applyFont="1" applyBorder="1" applyAlignment="1">
      <alignment vertical="center" wrapText="1"/>
    </xf>
    <xf numFmtId="169" fontId="14" fillId="0" borderId="17" xfId="2" applyNumberFormat="1" applyFont="1" applyBorder="1" applyAlignment="1">
      <alignment horizontal="left" vertical="center"/>
    </xf>
    <xf numFmtId="2" fontId="8" fillId="0" borderId="17" xfId="2" applyNumberFormat="1" applyFont="1" applyBorder="1" applyAlignment="1">
      <alignment horizontal="left" vertical="center"/>
    </xf>
    <xf numFmtId="0" fontId="21" fillId="0" borderId="91" xfId="2" applyFont="1" applyBorder="1" applyAlignment="1">
      <alignment vertical="center" wrapText="1"/>
    </xf>
    <xf numFmtId="0" fontId="8" fillId="0" borderId="4" xfId="2" applyFont="1" applyBorder="1" applyAlignment="1">
      <alignment horizontal="left" vertical="center"/>
    </xf>
    <xf numFmtId="0" fontId="25" fillId="0" borderId="19" xfId="2" applyFont="1" applyBorder="1" applyAlignment="1">
      <alignment horizontal="left" vertical="center"/>
    </xf>
    <xf numFmtId="2" fontId="25" fillId="0" borderId="17" xfId="2" applyNumberFormat="1" applyFont="1" applyBorder="1" applyAlignment="1">
      <alignment horizontal="left" vertical="center"/>
    </xf>
    <xf numFmtId="169" fontId="24" fillId="0" borderId="17" xfId="2" applyNumberFormat="1" applyFont="1" applyBorder="1" applyAlignment="1">
      <alignment horizontal="left" vertical="center"/>
    </xf>
    <xf numFmtId="0" fontId="25" fillId="0" borderId="18" xfId="2" applyFont="1" applyBorder="1" applyAlignment="1">
      <alignment horizontal="left" vertical="center"/>
    </xf>
    <xf numFmtId="0" fontId="18" fillId="0" borderId="16" xfId="2" applyFont="1" applyBorder="1" applyAlignment="1">
      <alignment vertical="center"/>
    </xf>
    <xf numFmtId="0" fontId="18" fillId="0" borderId="28" xfId="2" applyFont="1" applyBorder="1" applyAlignment="1">
      <alignment vertical="center"/>
    </xf>
    <xf numFmtId="0" fontId="12" fillId="0" borderId="36" xfId="2" applyFont="1" applyBorder="1" applyAlignment="1">
      <alignment horizontal="left" vertical="center"/>
    </xf>
    <xf numFmtId="0" fontId="15" fillId="0" borderId="19" xfId="2" applyFont="1" applyBorder="1" applyAlignment="1">
      <alignment horizontal="left" vertical="center"/>
    </xf>
    <xf numFmtId="0" fontId="11" fillId="2" borderId="2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5" fillId="2" borderId="12" xfId="2" applyFont="1" applyFill="1" applyBorder="1" applyAlignment="1">
      <alignment horizontal="left" vertical="center"/>
    </xf>
    <xf numFmtId="0" fontId="12" fillId="2" borderId="7" xfId="2" applyFont="1" applyFill="1" applyBorder="1" applyAlignment="1">
      <alignment vertical="center"/>
    </xf>
    <xf numFmtId="49" fontId="12" fillId="2" borderId="7" xfId="2" applyNumberFormat="1" applyFont="1" applyFill="1" applyBorder="1" applyAlignment="1">
      <alignment horizontal="center" vertical="center"/>
    </xf>
    <xf numFmtId="0" fontId="12" fillId="2" borderId="14" xfId="2" applyFont="1" applyFill="1" applyBorder="1" applyAlignment="1">
      <alignment horizontal="center" vertical="center"/>
    </xf>
    <xf numFmtId="0" fontId="12" fillId="0" borderId="8" xfId="2" applyFont="1" applyBorder="1" applyAlignment="1">
      <alignment horizontal="left" vertical="center"/>
    </xf>
    <xf numFmtId="0" fontId="12" fillId="0" borderId="15" xfId="2" applyFont="1" applyBorder="1" applyAlignment="1">
      <alignment horizontal="left" vertical="center"/>
    </xf>
    <xf numFmtId="0" fontId="12" fillId="0" borderId="49" xfId="2" applyFont="1" applyBorder="1" applyAlignment="1">
      <alignment horizontal="left" vertical="center"/>
    </xf>
    <xf numFmtId="0" fontId="12" fillId="0" borderId="19" xfId="2" applyFont="1" applyBorder="1" applyAlignment="1">
      <alignment horizontal="left" vertical="center"/>
    </xf>
    <xf numFmtId="0" fontId="12" fillId="0" borderId="19" xfId="2" applyFont="1" applyBorder="1" applyAlignment="1">
      <alignment vertical="center"/>
    </xf>
    <xf numFmtId="0" fontId="23" fillId="0" borderId="16" xfId="2" applyFont="1" applyBorder="1" applyAlignment="1">
      <alignment horizontal="left" vertical="center"/>
    </xf>
    <xf numFmtId="0" fontId="23" fillId="0" borderId="16" xfId="2" quotePrefix="1" applyFont="1" applyBorder="1" applyAlignment="1">
      <alignment vertical="center"/>
    </xf>
    <xf numFmtId="0" fontId="26" fillId="0" borderId="28" xfId="2" applyFont="1" applyBorder="1" applyAlignment="1">
      <alignment horizontal="left" vertical="center"/>
    </xf>
    <xf numFmtId="0" fontId="12" fillId="8" borderId="7" xfId="2" applyFont="1" applyFill="1" applyBorder="1" applyAlignment="1">
      <alignment horizontal="center" vertical="center"/>
    </xf>
    <xf numFmtId="0" fontId="12" fillId="8" borderId="14" xfId="2" applyFont="1" applyFill="1" applyBorder="1" applyAlignment="1">
      <alignment horizontal="center" vertical="center"/>
    </xf>
    <xf numFmtId="0" fontId="12" fillId="8" borderId="23" xfId="2" applyFont="1" applyFill="1" applyBorder="1" applyAlignment="1">
      <alignment horizontal="center" vertical="center"/>
    </xf>
    <xf numFmtId="0" fontId="17" fillId="0" borderId="14" xfId="2" applyFont="1" applyBorder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7" fillId="0" borderId="4" xfId="2" applyFont="1" applyBorder="1" applyAlignment="1">
      <alignment horizontal="left" vertical="center"/>
    </xf>
    <xf numFmtId="0" fontId="17" fillId="0" borderId="5" xfId="2" applyFont="1" applyBorder="1" applyAlignment="1">
      <alignment horizontal="center" vertical="center"/>
    </xf>
    <xf numFmtId="0" fontId="31" fillId="0" borderId="17" xfId="2" applyFont="1" applyBorder="1" applyAlignment="1">
      <alignment vertical="center"/>
    </xf>
    <xf numFmtId="0" fontId="30" fillId="4" borderId="36" xfId="2" applyFont="1" applyFill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0" fontId="15" fillId="0" borderId="39" xfId="2" applyFont="1" applyBorder="1" applyAlignment="1">
      <alignment horizontal="center" vertical="center" wrapText="1"/>
    </xf>
    <xf numFmtId="0" fontId="23" fillId="0" borderId="39" xfId="2" applyFont="1" applyBorder="1" applyAlignment="1">
      <alignment horizontal="center" vertical="center" wrapText="1"/>
    </xf>
    <xf numFmtId="0" fontId="36" fillId="3" borderId="39" xfId="2" applyFont="1" applyFill="1" applyBorder="1" applyAlignment="1">
      <alignment horizontal="center" vertical="center" wrapText="1"/>
    </xf>
    <xf numFmtId="3" fontId="25" fillId="0" borderId="39" xfId="3" applyNumberFormat="1" applyFont="1" applyBorder="1" applyAlignment="1">
      <alignment horizontal="center" vertical="center"/>
    </xf>
    <xf numFmtId="38" fontId="38" fillId="6" borderId="39" xfId="2" applyNumberFormat="1" applyFont="1" applyFill="1" applyBorder="1" applyAlignment="1">
      <alignment horizontal="center" vertical="center"/>
    </xf>
    <xf numFmtId="0" fontId="39" fillId="0" borderId="70" xfId="0" applyFont="1" applyBorder="1" applyAlignment="1">
      <alignment horizontal="center" vertical="center" wrapText="1"/>
    </xf>
    <xf numFmtId="0" fontId="39" fillId="0" borderId="84" xfId="0" applyFont="1" applyBorder="1" applyAlignment="1">
      <alignment horizontal="center" vertical="center" wrapText="1"/>
    </xf>
    <xf numFmtId="0" fontId="39" fillId="0" borderId="73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9" fillId="0" borderId="87" xfId="0" applyFont="1" applyBorder="1" applyAlignment="1">
      <alignment horizontal="center" vertical="center" wrapText="1"/>
    </xf>
    <xf numFmtId="0" fontId="40" fillId="0" borderId="94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 wrapText="1"/>
    </xf>
    <xf numFmtId="0" fontId="39" fillId="0" borderId="44" xfId="0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0" fontId="39" fillId="0" borderId="88" xfId="0" applyFont="1" applyBorder="1" applyAlignment="1">
      <alignment horizontal="center" vertical="center" wrapText="1"/>
    </xf>
    <xf numFmtId="0" fontId="40" fillId="0" borderId="95" xfId="0" applyFont="1" applyBorder="1" applyAlignment="1">
      <alignment horizontal="center" vertical="center" wrapText="1"/>
    </xf>
    <xf numFmtId="0" fontId="39" fillId="0" borderId="82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83" xfId="0" applyFont="1" applyBorder="1" applyAlignment="1">
      <alignment horizontal="center" vertical="center" wrapText="1"/>
    </xf>
    <xf numFmtId="0" fontId="39" fillId="0" borderId="89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0" borderId="85" xfId="0" applyFont="1" applyBorder="1" applyAlignment="1">
      <alignment horizontal="center" vertical="center" wrapText="1"/>
    </xf>
    <xf numFmtId="0" fontId="39" fillId="0" borderId="69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39" fillId="0" borderId="90" xfId="0" applyFont="1" applyBorder="1" applyAlignment="1">
      <alignment horizontal="center" vertical="center" wrapText="1"/>
    </xf>
    <xf numFmtId="0" fontId="40" fillId="0" borderId="96" xfId="0" applyFont="1" applyBorder="1" applyAlignment="1">
      <alignment horizontal="center" vertical="center" wrapText="1"/>
    </xf>
    <xf numFmtId="0" fontId="18" fillId="5" borderId="92" xfId="2" applyFont="1" applyFill="1" applyBorder="1" applyAlignment="1">
      <alignment horizontal="center" vertical="center"/>
    </xf>
    <xf numFmtId="0" fontId="17" fillId="5" borderId="93" xfId="2" applyFont="1" applyFill="1" applyBorder="1" applyAlignment="1">
      <alignment horizontal="center" vertical="center"/>
    </xf>
    <xf numFmtId="0" fontId="17" fillId="0" borderId="19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23" fillId="0" borderId="0" xfId="2" applyFont="1" applyAlignment="1">
      <alignment vertical="center"/>
    </xf>
    <xf numFmtId="0" fontId="7" fillId="0" borderId="0" xfId="0" applyFont="1">
      <alignment vertical="center"/>
    </xf>
    <xf numFmtId="0" fontId="7" fillId="0" borderId="27" xfId="0" applyFont="1" applyBorder="1">
      <alignment vertical="center"/>
    </xf>
    <xf numFmtId="0" fontId="8" fillId="0" borderId="5" xfId="2" applyFont="1" applyBorder="1" applyAlignment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44" fillId="0" borderId="0" xfId="2" applyFont="1" applyAlignment="1">
      <alignment vertical="center"/>
    </xf>
    <xf numFmtId="0" fontId="7" fillId="0" borderId="44" xfId="2" applyFont="1" applyBorder="1" applyAlignment="1">
      <alignment vertical="center"/>
    </xf>
    <xf numFmtId="0" fontId="7" fillId="0" borderId="69" xfId="2" applyFont="1" applyBorder="1" applyAlignment="1">
      <alignment vertical="center"/>
    </xf>
    <xf numFmtId="0" fontId="10" fillId="0" borderId="0" xfId="4" applyFont="1"/>
    <xf numFmtId="0" fontId="7" fillId="0" borderId="0" xfId="4" quotePrefix="1" applyFont="1" applyAlignment="1">
      <alignment horizontal="left"/>
    </xf>
    <xf numFmtId="0" fontId="7" fillId="0" borderId="0" xfId="4" applyFont="1" applyAlignment="1">
      <alignment horizontal="left"/>
    </xf>
    <xf numFmtId="0" fontId="7" fillId="0" borderId="0" xfId="4" applyFont="1" applyAlignment="1">
      <alignment horizontal="center"/>
    </xf>
    <xf numFmtId="0" fontId="7" fillId="0" borderId="0" xfId="4" applyFont="1"/>
    <xf numFmtId="168" fontId="7" fillId="0" borderId="0" xfId="4" applyNumberFormat="1" applyFont="1" applyAlignment="1">
      <alignment horizontal="right"/>
    </xf>
    <xf numFmtId="0" fontId="10" fillId="0" borderId="0" xfId="4" applyFont="1" applyAlignment="1">
      <alignment horizontal="left"/>
    </xf>
    <xf numFmtId="0" fontId="7" fillId="0" borderId="0" xfId="4" applyFont="1" applyAlignment="1">
      <alignment horizontal="left" vertical="top"/>
    </xf>
    <xf numFmtId="38" fontId="48" fillId="6" borderId="39" xfId="2" applyNumberFormat="1" applyFont="1" applyFill="1" applyBorder="1" applyAlignment="1">
      <alignment horizontal="center" vertical="center"/>
    </xf>
    <xf numFmtId="0" fontId="32" fillId="9" borderId="8" xfId="2" applyFont="1" applyFill="1" applyBorder="1" applyAlignment="1">
      <alignment horizontal="center" vertical="center"/>
    </xf>
    <xf numFmtId="0" fontId="32" fillId="9" borderId="13" xfId="2" applyFont="1" applyFill="1" applyBorder="1" applyAlignment="1">
      <alignment horizontal="center" vertical="center"/>
    </xf>
    <xf numFmtId="0" fontId="32" fillId="9" borderId="34" xfId="2" applyFont="1" applyFill="1" applyBorder="1" applyAlignment="1">
      <alignment horizontal="center" vertical="center"/>
    </xf>
    <xf numFmtId="0" fontId="32" fillId="9" borderId="86" xfId="2" applyFont="1" applyFill="1" applyBorder="1" applyAlignment="1">
      <alignment horizontal="center" vertical="center"/>
    </xf>
    <xf numFmtId="0" fontId="32" fillId="9" borderId="63" xfId="2" applyFont="1" applyFill="1" applyBorder="1" applyAlignment="1">
      <alignment horizontal="center" vertical="center"/>
    </xf>
    <xf numFmtId="0" fontId="32" fillId="9" borderId="10" xfId="2" applyFont="1" applyFill="1" applyBorder="1" applyAlignment="1">
      <alignment horizontal="center" vertical="center"/>
    </xf>
    <xf numFmtId="0" fontId="23" fillId="0" borderId="28" xfId="2" applyFont="1" applyBorder="1" applyAlignment="1">
      <alignment horizontal="left" vertical="center"/>
    </xf>
    <xf numFmtId="0" fontId="37" fillId="12" borderId="39" xfId="2" applyFont="1" applyFill="1" applyBorder="1" applyAlignment="1">
      <alignment horizontal="center" vertical="center" wrapText="1"/>
    </xf>
    <xf numFmtId="0" fontId="42" fillId="11" borderId="100" xfId="2" applyFont="1" applyFill="1" applyBorder="1" applyAlignment="1">
      <alignment horizontal="center" vertical="center" wrapText="1"/>
    </xf>
    <xf numFmtId="0" fontId="42" fillId="11" borderId="5" xfId="2" applyFont="1" applyFill="1" applyBorder="1" applyAlignment="1">
      <alignment vertical="center" wrapText="1"/>
    </xf>
    <xf numFmtId="2" fontId="30" fillId="13" borderId="36" xfId="2" applyNumberFormat="1" applyFont="1" applyFill="1" applyBorder="1" applyAlignment="1">
      <alignment horizontal="center" vertical="center"/>
    </xf>
    <xf numFmtId="3" fontId="25" fillId="3" borderId="39" xfId="3" applyNumberFormat="1" applyFont="1" applyFill="1" applyBorder="1" applyAlignment="1">
      <alignment horizontal="center" vertical="center"/>
    </xf>
    <xf numFmtId="38" fontId="43" fillId="11" borderId="101" xfId="2" applyNumberFormat="1" applyFont="1" applyFill="1" applyBorder="1" applyAlignment="1">
      <alignment horizontal="center" vertical="center"/>
    </xf>
    <xf numFmtId="0" fontId="21" fillId="3" borderId="0" xfId="2" applyFont="1" applyFill="1" applyAlignment="1">
      <alignment vertical="center" wrapText="1"/>
    </xf>
    <xf numFmtId="0" fontId="21" fillId="3" borderId="27" xfId="2" applyFont="1" applyFill="1" applyBorder="1" applyAlignment="1">
      <alignment vertical="center" wrapText="1"/>
    </xf>
    <xf numFmtId="0" fontId="21" fillId="3" borderId="5" xfId="2" applyFont="1" applyFill="1" applyBorder="1" applyAlignment="1">
      <alignment vertical="center" wrapText="1"/>
    </xf>
    <xf numFmtId="0" fontId="21" fillId="3" borderId="6" xfId="2" applyFont="1" applyFill="1" applyBorder="1" applyAlignment="1">
      <alignment vertical="center" wrapText="1"/>
    </xf>
    <xf numFmtId="0" fontId="18" fillId="0" borderId="14" xfId="2" applyFont="1" applyBorder="1" applyAlignment="1">
      <alignment vertical="center"/>
    </xf>
    <xf numFmtId="0" fontId="47" fillId="0" borderId="46" xfId="2" applyFont="1" applyBorder="1" applyAlignment="1">
      <alignment vertical="center" wrapText="1"/>
    </xf>
    <xf numFmtId="0" fontId="21" fillId="0" borderId="46" xfId="2" applyFont="1" applyBorder="1" applyAlignment="1">
      <alignment vertical="center" wrapText="1"/>
    </xf>
    <xf numFmtId="0" fontId="21" fillId="0" borderId="26" xfId="2" applyFont="1" applyBorder="1" applyAlignment="1">
      <alignment vertical="center" wrapText="1"/>
    </xf>
    <xf numFmtId="0" fontId="12" fillId="8" borderId="47" xfId="2" applyFont="1" applyFill="1" applyBorder="1" applyAlignment="1">
      <alignment vertical="center"/>
    </xf>
    <xf numFmtId="0" fontId="12" fillId="8" borderId="12" xfId="2" applyFont="1" applyFill="1" applyBorder="1" applyAlignment="1">
      <alignment vertical="center"/>
    </xf>
    <xf numFmtId="0" fontId="12" fillId="8" borderId="45" xfId="2" applyFont="1" applyFill="1" applyBorder="1" applyAlignment="1">
      <alignment vertical="center"/>
    </xf>
    <xf numFmtId="0" fontId="12" fillId="8" borderId="46" xfId="2" applyFont="1" applyFill="1" applyBorder="1" applyAlignment="1">
      <alignment vertical="center"/>
    </xf>
    <xf numFmtId="0" fontId="39" fillId="3" borderId="44" xfId="0" applyFont="1" applyFill="1" applyBorder="1" applyAlignment="1">
      <alignment horizontal="center" vertical="center" wrapText="1"/>
    </xf>
    <xf numFmtId="0" fontId="12" fillId="3" borderId="36" xfId="2" applyFont="1" applyFill="1" applyBorder="1" applyAlignment="1">
      <alignment horizontal="left" vertical="center"/>
    </xf>
    <xf numFmtId="0" fontId="5" fillId="3" borderId="36" xfId="2" applyFont="1" applyFill="1" applyBorder="1" applyAlignment="1">
      <alignment horizontal="left" vertical="center"/>
    </xf>
    <xf numFmtId="0" fontId="30" fillId="3" borderId="36" xfId="2" applyFont="1" applyFill="1" applyBorder="1" applyAlignment="1">
      <alignment horizontal="center" vertical="center"/>
    </xf>
    <xf numFmtId="0" fontId="7" fillId="3" borderId="37" xfId="2" applyFont="1" applyFill="1" applyBorder="1" applyAlignment="1">
      <alignment horizontal="left" vertical="center"/>
    </xf>
    <xf numFmtId="0" fontId="7" fillId="3" borderId="19" xfId="2" applyFont="1" applyFill="1" applyBorder="1" applyAlignment="1">
      <alignment horizontal="left" vertical="center"/>
    </xf>
    <xf numFmtId="2" fontId="8" fillId="3" borderId="17" xfId="2" applyNumberFormat="1" applyFont="1" applyFill="1" applyBorder="1" applyAlignment="1">
      <alignment horizontal="left" vertical="center"/>
    </xf>
    <xf numFmtId="0" fontId="7" fillId="3" borderId="17" xfId="2" applyFont="1" applyFill="1" applyBorder="1" applyAlignment="1">
      <alignment vertical="center"/>
    </xf>
    <xf numFmtId="0" fontId="7" fillId="3" borderId="18" xfId="2" applyFont="1" applyFill="1" applyBorder="1" applyAlignment="1">
      <alignment horizontal="left" vertical="center"/>
    </xf>
    <xf numFmtId="0" fontId="15" fillId="3" borderId="19" xfId="2" applyFont="1" applyFill="1" applyBorder="1" applyAlignment="1">
      <alignment horizontal="left" vertical="center"/>
    </xf>
    <xf numFmtId="2" fontId="7" fillId="3" borderId="17" xfId="2" applyNumberFormat="1" applyFont="1" applyFill="1" applyBorder="1" applyAlignment="1">
      <alignment horizontal="left" vertical="center"/>
    </xf>
    <xf numFmtId="0" fontId="9" fillId="3" borderId="18" xfId="2" applyFont="1" applyFill="1" applyBorder="1" applyAlignment="1">
      <alignment vertical="center" wrapText="1"/>
    </xf>
    <xf numFmtId="169" fontId="14" fillId="3" borderId="17" xfId="2" applyNumberFormat="1" applyFont="1" applyFill="1" applyBorder="1" applyAlignment="1">
      <alignment horizontal="left" vertical="center"/>
    </xf>
    <xf numFmtId="0" fontId="15" fillId="3" borderId="39" xfId="3" applyFont="1" applyFill="1" applyBorder="1" applyAlignment="1">
      <alignment horizontal="center" vertical="center" wrapText="1"/>
    </xf>
    <xf numFmtId="0" fontId="39" fillId="0" borderId="80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98" xfId="0" applyFont="1" applyBorder="1" applyAlignment="1">
      <alignment horizontal="center" vertical="center" wrapText="1"/>
    </xf>
    <xf numFmtId="38" fontId="18" fillId="3" borderId="68" xfId="2" applyNumberFormat="1" applyFont="1" applyFill="1" applyBorder="1" applyAlignment="1">
      <alignment horizontal="center" vertical="center"/>
    </xf>
    <xf numFmtId="38" fontId="18" fillId="3" borderId="48" xfId="2" applyNumberFormat="1" applyFont="1" applyFill="1" applyBorder="1" applyAlignment="1">
      <alignment horizontal="center" vertical="center"/>
    </xf>
    <xf numFmtId="0" fontId="41" fillId="13" borderId="79" xfId="2" applyFont="1" applyFill="1" applyBorder="1" applyAlignment="1">
      <alignment horizontal="center" vertical="center" wrapText="1"/>
    </xf>
    <xf numFmtId="0" fontId="41" fillId="13" borderId="77" xfId="2" applyFont="1" applyFill="1" applyBorder="1" applyAlignment="1">
      <alignment horizontal="center" vertical="center" wrapText="1"/>
    </xf>
    <xf numFmtId="0" fontId="41" fillId="13" borderId="41" xfId="2" applyFont="1" applyFill="1" applyBorder="1" applyAlignment="1">
      <alignment horizontal="center" vertical="center" wrapText="1"/>
    </xf>
    <xf numFmtId="0" fontId="41" fillId="13" borderId="43" xfId="2" applyFont="1" applyFill="1" applyBorder="1" applyAlignment="1">
      <alignment horizontal="center" vertical="center" wrapText="1"/>
    </xf>
    <xf numFmtId="38" fontId="48" fillId="6" borderId="68" xfId="2" applyNumberFormat="1" applyFont="1" applyFill="1" applyBorder="1" applyAlignment="1">
      <alignment horizontal="center" vertical="center"/>
    </xf>
    <xf numFmtId="38" fontId="48" fillId="6" borderId="48" xfId="2" applyNumberFormat="1" applyFont="1" applyFill="1" applyBorder="1" applyAlignment="1">
      <alignment horizontal="center" vertical="center"/>
    </xf>
    <xf numFmtId="0" fontId="46" fillId="0" borderId="23" xfId="2" applyFont="1" applyBorder="1" applyAlignment="1">
      <alignment horizontal="left" vertical="center" wrapText="1"/>
    </xf>
    <xf numFmtId="0" fontId="46" fillId="0" borderId="46" xfId="2" applyFont="1" applyBorder="1" applyAlignment="1">
      <alignment horizontal="left" vertical="center" wrapText="1"/>
    </xf>
    <xf numFmtId="0" fontId="31" fillId="0" borderId="74" xfId="2" applyFont="1" applyBorder="1" applyAlignment="1">
      <alignment horizontal="center" vertical="center" wrapText="1"/>
    </xf>
    <xf numFmtId="0" fontId="31" fillId="0" borderId="62" xfId="2" applyFont="1" applyBorder="1" applyAlignment="1">
      <alignment horizontal="center" vertical="center" wrapText="1"/>
    </xf>
    <xf numFmtId="0" fontId="31" fillId="0" borderId="75" xfId="2" applyFont="1" applyBorder="1" applyAlignment="1">
      <alignment horizontal="center" vertical="center" wrapText="1"/>
    </xf>
    <xf numFmtId="0" fontId="31" fillId="0" borderId="19" xfId="2" applyFont="1" applyBorder="1" applyAlignment="1">
      <alignment horizontal="center" vertical="center" wrapText="1"/>
    </xf>
    <xf numFmtId="0" fontId="31" fillId="0" borderId="17" xfId="2" applyFont="1" applyBorder="1" applyAlignment="1">
      <alignment horizontal="center" vertical="center" wrapText="1"/>
    </xf>
    <xf numFmtId="0" fontId="31" fillId="0" borderId="18" xfId="2" applyFont="1" applyBorder="1" applyAlignment="1">
      <alignment horizontal="center" vertical="center" wrapText="1"/>
    </xf>
    <xf numFmtId="0" fontId="31" fillId="3" borderId="19" xfId="2" applyFont="1" applyFill="1" applyBorder="1" applyAlignment="1">
      <alignment horizontal="center" vertical="center" wrapText="1"/>
    </xf>
    <xf numFmtId="0" fontId="31" fillId="3" borderId="17" xfId="2" applyFont="1" applyFill="1" applyBorder="1" applyAlignment="1">
      <alignment horizontal="center" vertical="center" wrapText="1"/>
    </xf>
    <xf numFmtId="0" fontId="31" fillId="3" borderId="18" xfId="2" applyFont="1" applyFill="1" applyBorder="1" applyAlignment="1">
      <alignment horizontal="center" vertical="center" wrapText="1"/>
    </xf>
    <xf numFmtId="0" fontId="31" fillId="0" borderId="76" xfId="2" applyFont="1" applyBorder="1" applyAlignment="1">
      <alignment horizontal="center" vertical="center" wrapText="1"/>
    </xf>
    <xf numFmtId="0" fontId="31" fillId="0" borderId="29" xfId="2" applyFont="1" applyBorder="1" applyAlignment="1">
      <alignment horizontal="center" vertical="center" wrapText="1"/>
    </xf>
    <xf numFmtId="0" fontId="31" fillId="0" borderId="30" xfId="2" applyFont="1" applyBorder="1" applyAlignment="1">
      <alignment horizontal="center" vertical="center" wrapText="1"/>
    </xf>
    <xf numFmtId="0" fontId="32" fillId="10" borderId="58" xfId="2" applyFont="1" applyFill="1" applyBorder="1" applyAlignment="1">
      <alignment horizontal="center" vertical="center"/>
    </xf>
    <xf numFmtId="0" fontId="32" fillId="10" borderId="57" xfId="2" applyFont="1" applyFill="1" applyBorder="1" applyAlignment="1">
      <alignment horizontal="center" vertical="center"/>
    </xf>
    <xf numFmtId="0" fontId="32" fillId="10" borderId="60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2" borderId="2" xfId="2" applyFont="1" applyFill="1" applyBorder="1" applyAlignment="1">
      <alignment horizontal="left" vertical="center"/>
    </xf>
    <xf numFmtId="0" fontId="39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9" fillId="0" borderId="99" xfId="0" applyFont="1" applyBorder="1" applyAlignment="1">
      <alignment horizontal="center" vertical="center" wrapText="1"/>
    </xf>
    <xf numFmtId="0" fontId="12" fillId="3" borderId="12" xfId="2" applyFont="1" applyFill="1" applyBorder="1" applyAlignment="1">
      <alignment horizontal="center" vertical="center" wrapText="1"/>
    </xf>
    <xf numFmtId="0" fontId="12" fillId="3" borderId="35" xfId="2" applyFont="1" applyFill="1" applyBorder="1" applyAlignment="1">
      <alignment horizontal="center" vertical="center" wrapText="1"/>
    </xf>
    <xf numFmtId="0" fontId="12" fillId="3" borderId="0" xfId="2" applyFont="1" applyFill="1" applyAlignment="1">
      <alignment horizontal="center" vertical="center" wrapText="1"/>
    </xf>
    <xf numFmtId="0" fontId="12" fillId="3" borderId="27" xfId="2" applyFont="1" applyFill="1" applyBorder="1" applyAlignment="1">
      <alignment horizontal="center" vertical="center" wrapText="1"/>
    </xf>
    <xf numFmtId="0" fontId="45" fillId="8" borderId="7" xfId="2" applyFont="1" applyFill="1" applyBorder="1" applyAlignment="1">
      <alignment horizontal="right" vertical="center" wrapText="1"/>
    </xf>
    <xf numFmtId="0" fontId="45" fillId="8" borderId="12" xfId="2" applyFont="1" applyFill="1" applyBorder="1" applyAlignment="1">
      <alignment horizontal="right" vertical="center" wrapText="1"/>
    </xf>
    <xf numFmtId="0" fontId="45" fillId="8" borderId="35" xfId="2" applyFont="1" applyFill="1" applyBorder="1" applyAlignment="1">
      <alignment horizontal="right" vertical="center" wrapText="1"/>
    </xf>
    <xf numFmtId="0" fontId="45" fillId="8" borderId="4" xfId="2" applyFont="1" applyFill="1" applyBorder="1" applyAlignment="1">
      <alignment horizontal="right" vertical="center" wrapText="1"/>
    </xf>
    <xf numFmtId="0" fontId="45" fillId="8" borderId="5" xfId="2" applyFont="1" applyFill="1" applyBorder="1" applyAlignment="1">
      <alignment horizontal="right" vertical="center" wrapText="1"/>
    </xf>
    <xf numFmtId="0" fontId="45" fillId="8" borderId="6" xfId="2" applyFont="1" applyFill="1" applyBorder="1" applyAlignment="1">
      <alignment horizontal="right" vertical="center" wrapText="1"/>
    </xf>
    <xf numFmtId="0" fontId="15" fillId="8" borderId="7" xfId="2" applyFont="1" applyFill="1" applyBorder="1" applyAlignment="1">
      <alignment horizontal="center" vertical="center" wrapText="1"/>
    </xf>
    <xf numFmtId="0" fontId="15" fillId="8" borderId="12" xfId="2" applyFont="1" applyFill="1" applyBorder="1" applyAlignment="1">
      <alignment horizontal="center" vertical="center" wrapText="1"/>
    </xf>
    <xf numFmtId="0" fontId="15" fillId="8" borderId="35" xfId="2" applyFont="1" applyFill="1" applyBorder="1" applyAlignment="1">
      <alignment horizontal="center" vertical="center" wrapText="1"/>
    </xf>
    <xf numFmtId="0" fontId="15" fillId="8" borderId="4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8" borderId="6" xfId="2" applyFont="1" applyFill="1" applyBorder="1" applyAlignment="1">
      <alignment horizontal="center" vertical="center" wrapText="1"/>
    </xf>
    <xf numFmtId="0" fontId="27" fillId="6" borderId="1" xfId="2" applyFont="1" applyFill="1" applyBorder="1" applyAlignment="1">
      <alignment horizontal="center" vertical="center"/>
    </xf>
    <xf numFmtId="0" fontId="27" fillId="6" borderId="2" xfId="2" applyFont="1" applyFill="1" applyBorder="1" applyAlignment="1">
      <alignment horizontal="center" vertical="center"/>
    </xf>
    <xf numFmtId="0" fontId="27" fillId="6" borderId="3" xfId="2" applyFont="1" applyFill="1" applyBorder="1" applyAlignment="1">
      <alignment horizontal="center" vertical="center"/>
    </xf>
    <xf numFmtId="171" fontId="17" fillId="3" borderId="2" xfId="2" applyNumberFormat="1" applyFont="1" applyFill="1" applyBorder="1" applyAlignment="1">
      <alignment horizontal="center" vertical="center"/>
    </xf>
    <xf numFmtId="0" fontId="12" fillId="8" borderId="9" xfId="2" applyFont="1" applyFill="1" applyBorder="1" applyAlignment="1">
      <alignment horizontal="center" vertical="center"/>
    </xf>
    <xf numFmtId="0" fontId="12" fillId="8" borderId="13" xfId="2" applyFont="1" applyFill="1" applyBorder="1" applyAlignment="1">
      <alignment horizontal="center" vertical="center"/>
    </xf>
    <xf numFmtId="0" fontId="12" fillId="8" borderId="11" xfId="2" applyFont="1" applyFill="1" applyBorder="1" applyAlignment="1">
      <alignment horizontal="center" vertical="center"/>
    </xf>
    <xf numFmtId="0" fontId="52" fillId="7" borderId="9" xfId="2" applyFont="1" applyFill="1" applyBorder="1" applyAlignment="1">
      <alignment horizontal="center" vertical="center"/>
    </xf>
    <xf numFmtId="0" fontId="52" fillId="7" borderId="10" xfId="2" applyFont="1" applyFill="1" applyBorder="1" applyAlignment="1">
      <alignment horizontal="center" vertical="center"/>
    </xf>
    <xf numFmtId="0" fontId="52" fillId="7" borderId="11" xfId="2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27" xfId="2" applyFont="1" applyBorder="1" applyAlignment="1">
      <alignment horizontal="center" vertical="center"/>
    </xf>
    <xf numFmtId="167" fontId="15" fillId="0" borderId="16" xfId="2" applyNumberFormat="1" applyFont="1" applyBorder="1" applyAlignment="1">
      <alignment horizontal="center" vertical="center"/>
    </xf>
    <xf numFmtId="167" fontId="15" fillId="0" borderId="17" xfId="2" applyNumberFormat="1" applyFont="1" applyBorder="1" applyAlignment="1">
      <alignment horizontal="center" vertical="center"/>
    </xf>
    <xf numFmtId="167" fontId="15" fillId="0" borderId="18" xfId="2" applyNumberFormat="1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2" fillId="0" borderId="22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38" fontId="42" fillId="11" borderId="100" xfId="2" applyNumberFormat="1" applyFont="1" applyFill="1" applyBorder="1" applyAlignment="1">
      <alignment horizontal="center" vertical="center"/>
    </xf>
    <xf numFmtId="38" fontId="42" fillId="11" borderId="6" xfId="2" applyNumberFormat="1" applyFont="1" applyFill="1" applyBorder="1" applyAlignment="1">
      <alignment horizontal="center" vertical="center"/>
    </xf>
    <xf numFmtId="0" fontId="25" fillId="11" borderId="53" xfId="2" applyFont="1" applyFill="1" applyBorder="1" applyAlignment="1">
      <alignment horizontal="center" vertical="center"/>
    </xf>
    <xf numFmtId="0" fontId="25" fillId="11" borderId="55" xfId="2" applyFont="1" applyFill="1" applyBorder="1" applyAlignment="1">
      <alignment horizontal="center" vertical="center"/>
    </xf>
    <xf numFmtId="0" fontId="25" fillId="11" borderId="54" xfId="2" applyFont="1" applyFill="1" applyBorder="1" applyAlignment="1">
      <alignment horizontal="center" vertical="center"/>
    </xf>
    <xf numFmtId="0" fontId="18" fillId="5" borderId="31" xfId="2" applyFont="1" applyFill="1" applyBorder="1" applyAlignment="1">
      <alignment horizontal="center" vertical="center"/>
    </xf>
    <xf numFmtId="0" fontId="18" fillId="5" borderId="78" xfId="2" applyFont="1" applyFill="1" applyBorder="1" applyAlignment="1">
      <alignment horizontal="center" vertical="center"/>
    </xf>
    <xf numFmtId="49" fontId="42" fillId="11" borderId="53" xfId="2" applyNumberFormat="1" applyFont="1" applyFill="1" applyBorder="1" applyAlignment="1">
      <alignment horizontal="center" vertical="center"/>
    </xf>
    <xf numFmtId="49" fontId="42" fillId="11" borderId="55" xfId="2" applyNumberFormat="1" applyFont="1" applyFill="1" applyBorder="1" applyAlignment="1">
      <alignment horizontal="center" vertical="center"/>
    </xf>
    <xf numFmtId="49" fontId="42" fillId="11" borderId="56" xfId="2" applyNumberFormat="1" applyFont="1" applyFill="1" applyBorder="1" applyAlignment="1">
      <alignment horizontal="center" vertical="center"/>
    </xf>
    <xf numFmtId="0" fontId="10" fillId="6" borderId="1" xfId="2" applyFont="1" applyFill="1" applyBorder="1" applyAlignment="1">
      <alignment horizontal="center" vertical="center"/>
    </xf>
    <xf numFmtId="0" fontId="10" fillId="6" borderId="2" xfId="2" applyFont="1" applyFill="1" applyBorder="1" applyAlignment="1">
      <alignment horizontal="center" vertical="center"/>
    </xf>
    <xf numFmtId="0" fontId="10" fillId="6" borderId="3" xfId="2" applyFont="1" applyFill="1" applyBorder="1" applyAlignment="1">
      <alignment horizontal="center" vertical="center"/>
    </xf>
    <xf numFmtId="0" fontId="15" fillId="5" borderId="65" xfId="2" applyFont="1" applyFill="1" applyBorder="1" applyAlignment="1">
      <alignment horizontal="center" vertical="center"/>
    </xf>
    <xf numFmtId="0" fontId="15" fillId="5" borderId="61" xfId="2" applyFont="1" applyFill="1" applyBorder="1" applyAlignment="1">
      <alignment horizontal="center" vertical="center"/>
    </xf>
    <xf numFmtId="0" fontId="15" fillId="5" borderId="66" xfId="2" applyFont="1" applyFill="1" applyBorder="1" applyAlignment="1">
      <alignment horizontal="center" vertical="center"/>
    </xf>
    <xf numFmtId="0" fontId="49" fillId="0" borderId="16" xfId="2" applyFont="1" applyBorder="1" applyAlignment="1">
      <alignment horizontal="center" vertical="center" wrapText="1"/>
    </xf>
    <xf numFmtId="0" fontId="49" fillId="0" borderId="17" xfId="2" applyFont="1" applyBorder="1" applyAlignment="1">
      <alignment horizontal="center" vertical="center" wrapText="1"/>
    </xf>
    <xf numFmtId="0" fontId="49" fillId="0" borderId="18" xfId="2" applyFont="1" applyBorder="1" applyAlignment="1">
      <alignment horizontal="center" vertical="center" wrapText="1"/>
    </xf>
    <xf numFmtId="0" fontId="39" fillId="0" borderId="59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97" xfId="0" applyFont="1" applyBorder="1" applyAlignment="1">
      <alignment horizontal="center" vertical="center" wrapText="1"/>
    </xf>
    <xf numFmtId="0" fontId="18" fillId="5" borderId="47" xfId="2" applyFont="1" applyFill="1" applyBorder="1" applyAlignment="1">
      <alignment horizontal="center" vertical="center"/>
    </xf>
    <xf numFmtId="0" fontId="18" fillId="5" borderId="12" xfId="2" applyFont="1" applyFill="1" applyBorder="1" applyAlignment="1">
      <alignment horizontal="center" vertical="center"/>
    </xf>
    <xf numFmtId="0" fontId="18" fillId="5" borderId="33" xfId="2" applyFont="1" applyFill="1" applyBorder="1" applyAlignment="1">
      <alignment horizontal="center" vertical="center"/>
    </xf>
    <xf numFmtId="0" fontId="18" fillId="5" borderId="45" xfId="2" applyFont="1" applyFill="1" applyBorder="1" applyAlignment="1">
      <alignment horizontal="center" vertical="center"/>
    </xf>
    <xf numFmtId="0" fontId="18" fillId="5" borderId="46" xfId="2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/>
    </xf>
    <xf numFmtId="170" fontId="50" fillId="0" borderId="16" xfId="1" applyNumberFormat="1" applyFont="1" applyBorder="1" applyAlignment="1">
      <alignment horizontal="center" vertical="center"/>
    </xf>
    <xf numFmtId="170" fontId="50" fillId="0" borderId="17" xfId="1" applyNumberFormat="1" applyFont="1" applyBorder="1" applyAlignment="1">
      <alignment horizontal="center" vertical="center"/>
    </xf>
    <xf numFmtId="170" fontId="50" fillId="0" borderId="18" xfId="1" applyNumberFormat="1" applyFont="1" applyBorder="1" applyAlignment="1">
      <alignment horizontal="center" vertical="center"/>
    </xf>
    <xf numFmtId="165" fontId="51" fillId="12" borderId="28" xfId="2" quotePrefix="1" applyNumberFormat="1" applyFont="1" applyFill="1" applyBorder="1" applyAlignment="1">
      <alignment horizontal="center" vertical="center"/>
    </xf>
    <xf numFmtId="165" fontId="51" fillId="12" borderId="29" xfId="2" quotePrefix="1" applyNumberFormat="1" applyFont="1" applyFill="1" applyBorder="1" applyAlignment="1">
      <alignment horizontal="center" vertical="center"/>
    </xf>
    <xf numFmtId="165" fontId="51" fillId="12" borderId="30" xfId="2" quotePrefix="1" applyNumberFormat="1" applyFont="1" applyFill="1" applyBorder="1" applyAlignment="1">
      <alignment horizontal="center" vertical="center"/>
    </xf>
    <xf numFmtId="49" fontId="38" fillId="6" borderId="102" xfId="2" applyNumberFormat="1" applyFont="1" applyFill="1" applyBorder="1" applyAlignment="1">
      <alignment horizontal="center" vertical="center"/>
    </xf>
    <xf numFmtId="49" fontId="38" fillId="6" borderId="103" xfId="2" applyNumberFormat="1" applyFont="1" applyFill="1" applyBorder="1" applyAlignment="1">
      <alignment horizontal="center" vertical="center"/>
    </xf>
    <xf numFmtId="49" fontId="38" fillId="6" borderId="104" xfId="2" applyNumberFormat="1" applyFont="1" applyFill="1" applyBorder="1" applyAlignment="1">
      <alignment horizontal="center" vertical="center"/>
    </xf>
    <xf numFmtId="0" fontId="33" fillId="3" borderId="38" xfId="2" applyFont="1" applyFill="1" applyBorder="1" applyAlignment="1">
      <alignment horizontal="center" vertical="center" wrapText="1" shrinkToFit="1"/>
    </xf>
    <xf numFmtId="0" fontId="33" fillId="3" borderId="40" xfId="2" applyFont="1" applyFill="1" applyBorder="1" applyAlignment="1">
      <alignment horizontal="center" vertical="center" wrapText="1" shrinkToFit="1"/>
    </xf>
    <xf numFmtId="169" fontId="16" fillId="7" borderId="17" xfId="2" applyNumberFormat="1" applyFont="1" applyFill="1" applyBorder="1" applyAlignment="1">
      <alignment horizontal="center" vertical="center"/>
    </xf>
    <xf numFmtId="0" fontId="12" fillId="8" borderId="32" xfId="2" applyFont="1" applyFill="1" applyBorder="1" applyAlignment="1">
      <alignment horizontal="center" vertical="center"/>
    </xf>
    <xf numFmtId="0" fontId="12" fillId="8" borderId="42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2" fillId="8" borderId="31" xfId="2" applyFont="1" applyFill="1" applyBorder="1" applyAlignment="1">
      <alignment horizontal="center" vertical="center" shrinkToFit="1"/>
    </xf>
    <xf numFmtId="0" fontId="12" fillId="8" borderId="40" xfId="2" applyFont="1" applyFill="1" applyBorder="1" applyAlignment="1">
      <alignment horizontal="center" vertical="center" shrinkToFit="1"/>
    </xf>
    <xf numFmtId="0" fontId="12" fillId="8" borderId="47" xfId="2" applyFont="1" applyFill="1" applyBorder="1" applyAlignment="1">
      <alignment horizontal="center" vertical="center"/>
    </xf>
    <xf numFmtId="0" fontId="12" fillId="8" borderId="35" xfId="2" applyFont="1" applyFill="1" applyBorder="1" applyAlignment="1">
      <alignment horizontal="center" vertical="center"/>
    </xf>
    <xf numFmtId="0" fontId="12" fillId="8" borderId="41" xfId="2" applyFont="1" applyFill="1" applyBorder="1" applyAlignment="1">
      <alignment horizontal="center" vertical="center"/>
    </xf>
    <xf numFmtId="0" fontId="12" fillId="8" borderId="27" xfId="2" applyFont="1" applyFill="1" applyBorder="1" applyAlignment="1">
      <alignment horizontal="center" vertical="center"/>
    </xf>
    <xf numFmtId="0" fontId="12" fillId="8" borderId="33" xfId="2" applyFont="1" applyFill="1" applyBorder="1" applyAlignment="1">
      <alignment horizontal="center" vertical="center" wrapText="1"/>
    </xf>
    <xf numFmtId="0" fontId="12" fillId="8" borderId="43" xfId="2" applyFont="1" applyFill="1" applyBorder="1" applyAlignment="1">
      <alignment horizontal="center" vertical="center" wrapText="1"/>
    </xf>
    <xf numFmtId="49" fontId="5" fillId="5" borderId="61" xfId="2" applyNumberFormat="1" applyFont="1" applyFill="1" applyBorder="1" applyAlignment="1">
      <alignment horizontal="center" vertical="center"/>
    </xf>
    <xf numFmtId="49" fontId="5" fillId="5" borderId="66" xfId="2" applyNumberFormat="1" applyFont="1" applyFill="1" applyBorder="1" applyAlignment="1">
      <alignment horizontal="center" vertical="center"/>
    </xf>
    <xf numFmtId="0" fontId="12" fillId="8" borderId="43" xfId="2" applyFont="1" applyFill="1" applyBorder="1" applyAlignment="1">
      <alignment horizontal="center" vertical="center"/>
    </xf>
    <xf numFmtId="169" fontId="16" fillId="3" borderId="17" xfId="2" applyNumberFormat="1" applyFont="1" applyFill="1" applyBorder="1" applyAlignment="1">
      <alignment horizontal="center" vertical="center"/>
    </xf>
  </cellXfs>
  <cellStyles count="11">
    <cellStyle name="Comma [0] 2" xfId="5" xr:uid="{00000000-0005-0000-0000-000001000000}"/>
    <cellStyle name="Currency 2" xfId="6" xr:uid="{00000000-0005-0000-0000-000002000000}"/>
    <cellStyle name="Normal 2 2" xfId="7" xr:uid="{00000000-0005-0000-0000-000004000000}"/>
    <cellStyle name="Normal 2 3" xfId="8" xr:uid="{00000000-0005-0000-0000-000005000000}"/>
    <cellStyle name="Normal 2 4" xfId="9" xr:uid="{00000000-0005-0000-0000-000006000000}"/>
    <cellStyle name="Normal 2 5" xfId="10" xr:uid="{00000000-0005-0000-0000-000007000000}"/>
    <cellStyle name="쉼표" xfId="1" builtinId="3"/>
    <cellStyle name="표준" xfId="0" builtinId="0"/>
    <cellStyle name="표준_INTC5009 (R23050) PO 100169364" xfId="4" xr:uid="{00000000-0005-0000-0000-000008000000}"/>
    <cellStyle name="표준_Order status(CWC 03.04.08 ahn)" xfId="3" xr:uid="{00000000-0005-0000-0000-000009000000}"/>
    <cellStyle name="표준_Subway Vtnam 봉제작지" xfId="2" xr:uid="{00000000-0005-0000-0000-00000A000000}"/>
  </cellStyles>
  <dxfs count="0"/>
  <tableStyles count="0" defaultTableStyle="TableStyleMedium9" defaultPivotStyle="PivotStyleLight16"/>
  <colors>
    <mruColors>
      <color rgb="FF0000FF"/>
      <color rgb="FFFF6699"/>
      <color rgb="FFFFFFCC"/>
      <color rgb="FFCCFFFF"/>
      <color rgb="FF66FF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669773</xdr:colOff>
      <xdr:row>64</xdr:row>
      <xdr:rowOff>218178</xdr:rowOff>
    </xdr:from>
    <xdr:ext cx="7076303" cy="5692497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86" y="33793803"/>
          <a:ext cx="7076303" cy="5692497"/>
        </a:xfrm>
        <a:prstGeom prst="rect">
          <a:avLst/>
        </a:prstGeom>
      </xdr:spPr>
    </xdr:pic>
    <xdr:clientData/>
  </xdr:oneCellAnchor>
  <xdr:twoCellAnchor editAs="oneCell">
    <xdr:from>
      <xdr:col>9</xdr:col>
      <xdr:colOff>355518</xdr:colOff>
      <xdr:row>84</xdr:row>
      <xdr:rowOff>326473</xdr:rowOff>
    </xdr:from>
    <xdr:to>
      <xdr:col>13</xdr:col>
      <xdr:colOff>707952</xdr:colOff>
      <xdr:row>85</xdr:row>
      <xdr:rowOff>1045153</xdr:rowOff>
    </xdr:to>
    <xdr:pic>
      <xdr:nvPicPr>
        <xdr:cNvPr id="9" name="그림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0309"/>
        <a:stretch/>
      </xdr:blipFill>
      <xdr:spPr>
        <a:xfrm>
          <a:off x="14381081" y="22543536"/>
          <a:ext cx="4682499" cy="2667494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9</xdr:col>
      <xdr:colOff>339572</xdr:colOff>
      <xdr:row>84</xdr:row>
      <xdr:rowOff>332594</xdr:rowOff>
    </xdr:from>
    <xdr:to>
      <xdr:col>18</xdr:col>
      <xdr:colOff>668914</xdr:colOff>
      <xdr:row>91</xdr:row>
      <xdr:rowOff>3500437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A25CFA22-613A-493F-90EC-5DB1F35D55C4}"/>
            </a:ext>
          </a:extLst>
        </xdr:cNvPr>
        <xdr:cNvGrpSpPr/>
      </xdr:nvGrpSpPr>
      <xdr:grpSpPr>
        <a:xfrm>
          <a:off x="17553845" y="44442003"/>
          <a:ext cx="10668296" cy="10008525"/>
          <a:chOff x="14209567" y="73116145"/>
          <a:chExt cx="11052256" cy="10540082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6218" b="1608"/>
          <a:stretch/>
        </xdr:blipFill>
        <xdr:spPr>
          <a:xfrm>
            <a:off x="14209567" y="76819352"/>
            <a:ext cx="8508609" cy="6836875"/>
          </a:xfrm>
          <a:prstGeom prst="rect">
            <a:avLst/>
          </a:prstGeom>
        </xdr:spPr>
      </xdr:pic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r="5024"/>
          <a:stretch/>
        </xdr:blipFill>
        <xdr:spPr>
          <a:xfrm>
            <a:off x="20514183" y="73116145"/>
            <a:ext cx="4747640" cy="4766831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428625</xdr:colOff>
      <xdr:row>91</xdr:row>
      <xdr:rowOff>71436</xdr:rowOff>
    </xdr:from>
    <xdr:to>
      <xdr:col>4</xdr:col>
      <xdr:colOff>690562</xdr:colOff>
      <xdr:row>94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6C454D-33F2-4970-AF2B-A3F9FDD0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8717874"/>
          <a:ext cx="3262312" cy="4905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666749</xdr:colOff>
      <xdr:row>91</xdr:row>
      <xdr:rowOff>95250</xdr:rowOff>
    </xdr:from>
    <xdr:to>
      <xdr:col>6</xdr:col>
      <xdr:colOff>1000124</xdr:colOff>
      <xdr:row>94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FDFF2BB-AAED-46F9-8FB1-C7D22955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4" y="28741688"/>
          <a:ext cx="3262313" cy="4929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95249</xdr:colOff>
      <xdr:row>91</xdr:row>
      <xdr:rowOff>95249</xdr:rowOff>
    </xdr:from>
    <xdr:to>
      <xdr:col>2</xdr:col>
      <xdr:colOff>0</xdr:colOff>
      <xdr:row>93</xdr:row>
      <xdr:rowOff>261937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19E8A3-78F1-49C9-A2A1-E24F5E3B89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4" t="18293" r="20238"/>
        <a:stretch/>
      </xdr:blipFill>
      <xdr:spPr bwMode="auto">
        <a:xfrm>
          <a:off x="95249" y="28741687"/>
          <a:ext cx="3714751" cy="4548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2024061</xdr:colOff>
      <xdr:row>91</xdr:row>
      <xdr:rowOff>190499</xdr:rowOff>
    </xdr:from>
    <xdr:to>
      <xdr:col>3</xdr:col>
      <xdr:colOff>71437</xdr:colOff>
      <xdr:row>93</xdr:row>
      <xdr:rowOff>261936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113FFA-1C23-41DB-9AED-5ADDDB1B9F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18" t="20926" r="14662" b="-1"/>
        <a:stretch/>
      </xdr:blipFill>
      <xdr:spPr bwMode="auto">
        <a:xfrm>
          <a:off x="3786186" y="28836937"/>
          <a:ext cx="3524251" cy="445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23812</xdr:colOff>
      <xdr:row>91</xdr:row>
      <xdr:rowOff>119062</xdr:rowOff>
    </xdr:from>
    <xdr:to>
      <xdr:col>8</xdr:col>
      <xdr:colOff>928687</xdr:colOff>
      <xdr:row>94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966561-CBAD-70B7-6CC9-64FD951D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5625" y="51720750"/>
          <a:ext cx="2238375" cy="485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sociedad-my.sharepoint.com/Team2/&#51333;&#54633;%20FILE(Extreme)/&#51333;&#54633;%20WISE(JCP)%20903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sociedad-my.sharepoint.com/Team2/&#51333;&#54633;%20FILE(Extreme)/&#51089;&#51648;/GUA-11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K"/>
      <sheetName val="ORDER CHECK"/>
      <sheetName val="Summary"/>
      <sheetName val="봉제작지"/>
      <sheetName val="부자재 발주서"/>
      <sheetName val="9COLOR 부속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요량"/>
    </sheetNames>
    <sheetDataSet>
      <sheetData sheetId="0">
        <row r="4">
          <cell r="L4">
            <v>1.08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  <pageSetUpPr fitToPage="1"/>
  </sheetPr>
  <dimension ref="A1:AG112"/>
  <sheetViews>
    <sheetView showGridLines="0" showZeros="0" tabSelected="1" view="pageBreakPreview" zoomScale="55" zoomScaleNormal="80" zoomScaleSheetLayoutView="55" workbookViewId="0">
      <selection activeCell="C8" sqref="C8:F8"/>
    </sheetView>
  </sheetViews>
  <sheetFormatPr defaultColWidth="8.88671875" defaultRowHeight="15" x14ac:dyDescent="0.15"/>
  <cols>
    <col min="1" max="1" width="20.6640625" style="17" customWidth="1"/>
    <col min="2" max="2" width="23.77734375" style="17" customWidth="1"/>
    <col min="3" max="3" width="39.88671875" style="17" customWidth="1"/>
    <col min="4" max="4" width="34.88671875" style="17" customWidth="1"/>
    <col min="5" max="5" width="18.6640625" style="17" customWidth="1"/>
    <col min="6" max="11" width="15.6640625" style="17" customWidth="1"/>
    <col min="12" max="13" width="12.77734375" style="17" customWidth="1"/>
    <col min="14" max="15" width="12.77734375" style="16" customWidth="1"/>
    <col min="16" max="19" width="12.77734375" style="17" customWidth="1"/>
    <col min="20" max="20" width="8.88671875" style="17"/>
    <col min="21" max="21" width="8.88671875" style="17" customWidth="1"/>
    <col min="22" max="16384" width="8.88671875" style="17"/>
  </cols>
  <sheetData>
    <row r="1" spans="1:19" ht="60" customHeight="1" thickBot="1" x14ac:dyDescent="0.2">
      <c r="A1" s="243" t="s">
        <v>188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5"/>
    </row>
    <row r="2" spans="1:19" ht="30" customHeight="1" thickBot="1" x14ac:dyDescent="0.2">
      <c r="A2" s="72" t="s">
        <v>158</v>
      </c>
      <c r="B2" s="8"/>
      <c r="C2" s="8"/>
      <c r="D2" s="8"/>
      <c r="E2" s="8"/>
      <c r="F2" s="8"/>
      <c r="G2" s="246">
        <v>45967</v>
      </c>
      <c r="H2" s="246"/>
      <c r="I2" s="9"/>
      <c r="J2" s="10"/>
      <c r="K2" s="10"/>
      <c r="L2" s="11"/>
      <c r="M2" s="10"/>
      <c r="N2" s="12"/>
      <c r="O2" s="12"/>
      <c r="P2" s="10"/>
      <c r="Q2" s="10"/>
      <c r="R2" s="13"/>
      <c r="S2" s="14"/>
    </row>
    <row r="3" spans="1:19" ht="37.15" customHeight="1" x14ac:dyDescent="0.15">
      <c r="A3" s="85" t="s">
        <v>0</v>
      </c>
      <c r="B3" s="87" t="s">
        <v>1</v>
      </c>
      <c r="C3" s="250" t="s">
        <v>189</v>
      </c>
      <c r="D3" s="251"/>
      <c r="E3" s="251"/>
      <c r="F3" s="252"/>
      <c r="G3" s="84" t="s">
        <v>133</v>
      </c>
      <c r="H3" s="83"/>
      <c r="I3" s="63"/>
      <c r="J3" s="63"/>
      <c r="K3" s="63"/>
      <c r="L3" s="15"/>
      <c r="M3" s="95" t="s">
        <v>2</v>
      </c>
      <c r="N3" s="247" t="s">
        <v>3</v>
      </c>
      <c r="O3" s="248"/>
      <c r="P3" s="247" t="s">
        <v>4</v>
      </c>
      <c r="Q3" s="248"/>
      <c r="R3" s="247" t="s">
        <v>5</v>
      </c>
      <c r="S3" s="249"/>
    </row>
    <row r="4" spans="1:19" ht="30" customHeight="1" x14ac:dyDescent="0.15">
      <c r="A4" s="86"/>
      <c r="B4" s="88" t="s">
        <v>6</v>
      </c>
      <c r="C4" s="264" t="s">
        <v>132</v>
      </c>
      <c r="D4" s="265"/>
      <c r="E4" s="265"/>
      <c r="F4" s="266"/>
      <c r="G4" s="90" t="s">
        <v>156</v>
      </c>
      <c r="H4" s="56"/>
      <c r="I4" s="92" t="s">
        <v>154</v>
      </c>
      <c r="J4" s="2"/>
      <c r="K4" s="58"/>
      <c r="L4" s="59"/>
      <c r="M4" s="96"/>
      <c r="N4" s="258"/>
      <c r="O4" s="259"/>
      <c r="P4" s="258"/>
      <c r="Q4" s="259"/>
      <c r="R4" s="258"/>
      <c r="S4" s="262"/>
    </row>
    <row r="5" spans="1:19" ht="30" customHeight="1" x14ac:dyDescent="0.15">
      <c r="A5" s="86" t="s">
        <v>134</v>
      </c>
      <c r="B5" s="89" t="s">
        <v>7</v>
      </c>
      <c r="C5" s="283" t="s">
        <v>190</v>
      </c>
      <c r="D5" s="284"/>
      <c r="E5" s="284"/>
      <c r="F5" s="285"/>
      <c r="G5" s="90" t="s">
        <v>153</v>
      </c>
      <c r="H5" s="60"/>
      <c r="I5" s="93" t="s">
        <v>8</v>
      </c>
      <c r="J5" s="2"/>
      <c r="K5" s="62"/>
      <c r="L5" s="62"/>
      <c r="M5" s="97" t="s">
        <v>9</v>
      </c>
      <c r="N5" s="260"/>
      <c r="O5" s="261"/>
      <c r="P5" s="260"/>
      <c r="Q5" s="261"/>
      <c r="R5" s="260"/>
      <c r="S5" s="263"/>
    </row>
    <row r="6" spans="1:19" ht="30" customHeight="1" x14ac:dyDescent="0.15">
      <c r="A6" s="86" t="s">
        <v>10</v>
      </c>
      <c r="B6" s="88" t="s">
        <v>11</v>
      </c>
      <c r="C6" s="264" t="s">
        <v>12</v>
      </c>
      <c r="D6" s="265"/>
      <c r="E6" s="265"/>
      <c r="F6" s="266"/>
      <c r="G6" s="91" t="s">
        <v>13</v>
      </c>
      <c r="H6" s="61"/>
      <c r="I6" s="92" t="s">
        <v>155</v>
      </c>
      <c r="J6" s="2"/>
      <c r="K6" s="58"/>
      <c r="L6" s="59"/>
      <c r="M6" s="172" t="s">
        <v>179</v>
      </c>
      <c r="S6" s="18"/>
    </row>
    <row r="7" spans="1:19" ht="30" customHeight="1" x14ac:dyDescent="0.15">
      <c r="A7" s="86" t="s">
        <v>135</v>
      </c>
      <c r="B7" s="88" t="s">
        <v>14</v>
      </c>
      <c r="C7" s="255" t="s">
        <v>15</v>
      </c>
      <c r="D7" s="256"/>
      <c r="E7" s="256"/>
      <c r="F7" s="257"/>
      <c r="G7" s="64" t="s">
        <v>137</v>
      </c>
      <c r="H7" s="57"/>
      <c r="I7" s="92" t="s">
        <v>149</v>
      </c>
      <c r="J7" s="2"/>
      <c r="K7" s="58"/>
      <c r="L7" s="59"/>
      <c r="M7" s="98" t="s">
        <v>180</v>
      </c>
      <c r="N7" s="19"/>
      <c r="O7" s="19"/>
      <c r="P7" s="20"/>
      <c r="Q7" s="19"/>
      <c r="R7" s="253"/>
      <c r="S7" s="254"/>
    </row>
    <row r="8" spans="1:19" ht="30" customHeight="1" x14ac:dyDescent="0.15">
      <c r="A8" s="86" t="s">
        <v>136</v>
      </c>
      <c r="B8" s="88" t="s">
        <v>16</v>
      </c>
      <c r="C8" s="295">
        <f>N58</f>
        <v>48394</v>
      </c>
      <c r="D8" s="296"/>
      <c r="E8" s="296"/>
      <c r="F8" s="297"/>
      <c r="G8" s="90" t="s">
        <v>138</v>
      </c>
      <c r="H8" s="56"/>
      <c r="I8" s="92" t="s">
        <v>150</v>
      </c>
      <c r="J8" s="2"/>
      <c r="K8" s="58"/>
      <c r="L8" s="59"/>
      <c r="M8" s="98" t="s">
        <v>181</v>
      </c>
      <c r="N8" s="99"/>
      <c r="O8" s="99"/>
      <c r="P8" s="22"/>
      <c r="Q8" s="21"/>
      <c r="R8" s="19"/>
      <c r="S8" s="23"/>
    </row>
    <row r="9" spans="1:19" ht="37.15" customHeight="1" thickBot="1" x14ac:dyDescent="0.2">
      <c r="A9" s="86"/>
      <c r="B9" s="88" t="s">
        <v>17</v>
      </c>
      <c r="C9" s="298" t="s">
        <v>208</v>
      </c>
      <c r="D9" s="299"/>
      <c r="E9" s="299"/>
      <c r="F9" s="300"/>
      <c r="G9" s="90" t="s">
        <v>18</v>
      </c>
      <c r="H9" s="56"/>
      <c r="I9" s="94" t="s">
        <v>139</v>
      </c>
      <c r="J9" s="54"/>
      <c r="K9" s="24"/>
      <c r="L9" s="25"/>
      <c r="M9" s="100" t="s">
        <v>182</v>
      </c>
      <c r="N9" s="101"/>
      <c r="O9" s="101"/>
      <c r="P9" s="27"/>
      <c r="Q9" s="26"/>
      <c r="R9" s="21"/>
      <c r="S9" s="28"/>
    </row>
    <row r="10" spans="1:19" ht="16.5" thickBot="1" x14ac:dyDescent="0.2">
      <c r="A10" s="309" t="s">
        <v>19</v>
      </c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29"/>
      <c r="O10" s="82"/>
      <c r="P10" s="309" t="s">
        <v>20</v>
      </c>
      <c r="Q10" s="310"/>
      <c r="R10" s="310"/>
      <c r="S10" s="311"/>
    </row>
    <row r="11" spans="1:19" s="44" customFormat="1" ht="50.1" customHeight="1" x14ac:dyDescent="0.15">
      <c r="A11" s="312" t="s">
        <v>21</v>
      </c>
      <c r="B11" s="307" t="s">
        <v>22</v>
      </c>
      <c r="C11" s="307" t="s">
        <v>23</v>
      </c>
      <c r="D11" s="318" t="s">
        <v>24</v>
      </c>
      <c r="E11" s="319" t="s">
        <v>25</v>
      </c>
      <c r="F11" s="159" t="s">
        <v>26</v>
      </c>
      <c r="G11" s="157" t="s">
        <v>27</v>
      </c>
      <c r="H11" s="157" t="s">
        <v>28</v>
      </c>
      <c r="I11" s="156" t="s">
        <v>29</v>
      </c>
      <c r="J11" s="157" t="s">
        <v>30</v>
      </c>
      <c r="K11" s="160" t="s">
        <v>31</v>
      </c>
      <c r="L11" s="176" t="s">
        <v>32</v>
      </c>
      <c r="M11" s="177"/>
      <c r="N11" s="314" t="s">
        <v>33</v>
      </c>
      <c r="O11" s="315"/>
      <c r="P11" s="79" t="s">
        <v>34</v>
      </c>
      <c r="Q11" s="7"/>
      <c r="R11" s="165">
        <v>9.65</v>
      </c>
      <c r="S11" s="4" t="s">
        <v>35</v>
      </c>
    </row>
    <row r="12" spans="1:19" s="44" customFormat="1" ht="24.95" customHeight="1" x14ac:dyDescent="0.15">
      <c r="A12" s="313"/>
      <c r="B12" s="308"/>
      <c r="C12" s="308"/>
      <c r="D12" s="319"/>
      <c r="E12" s="322"/>
      <c r="F12" s="320" t="s">
        <v>51</v>
      </c>
      <c r="G12" s="320"/>
      <c r="H12" s="320"/>
      <c r="I12" s="320"/>
      <c r="J12" s="320"/>
      <c r="K12" s="321"/>
      <c r="L12" s="178"/>
      <c r="M12" s="179"/>
      <c r="N12" s="316"/>
      <c r="O12" s="317"/>
      <c r="P12" s="135"/>
      <c r="Q12" s="70" t="s">
        <v>36</v>
      </c>
      <c r="R12" s="102"/>
      <c r="S12" s="3"/>
    </row>
    <row r="13" spans="1:19" ht="48" customHeight="1" x14ac:dyDescent="0.15">
      <c r="A13" s="304" t="s">
        <v>191</v>
      </c>
      <c r="B13" s="193" t="s">
        <v>37</v>
      </c>
      <c r="C13" s="105" t="s">
        <v>38</v>
      </c>
      <c r="D13" s="106" t="s">
        <v>200</v>
      </c>
      <c r="E13" s="107" t="s">
        <v>39</v>
      </c>
      <c r="F13" s="108"/>
      <c r="G13" s="166">
        <v>1</v>
      </c>
      <c r="H13" s="166">
        <v>2</v>
      </c>
      <c r="I13" s="166">
        <v>2</v>
      </c>
      <c r="J13" s="166">
        <v>2</v>
      </c>
      <c r="K13" s="166">
        <v>1</v>
      </c>
      <c r="L13" s="199" t="s">
        <v>196</v>
      </c>
      <c r="M13" s="200"/>
      <c r="N13" s="197">
        <f>SUM(F13:K13)</f>
        <v>8</v>
      </c>
      <c r="O13" s="198"/>
      <c r="P13" s="79" t="s">
        <v>40</v>
      </c>
      <c r="Q13" s="7"/>
      <c r="R13" s="103">
        <v>0.25</v>
      </c>
      <c r="S13" s="4" t="s">
        <v>35</v>
      </c>
    </row>
    <row r="14" spans="1:19" ht="48" customHeight="1" x14ac:dyDescent="0.15">
      <c r="A14" s="305"/>
      <c r="B14" s="193" t="s">
        <v>43</v>
      </c>
      <c r="C14" s="105" t="s">
        <v>44</v>
      </c>
      <c r="D14" s="106" t="s">
        <v>157</v>
      </c>
      <c r="E14" s="107" t="s">
        <v>39</v>
      </c>
      <c r="F14" s="108"/>
      <c r="G14" s="166">
        <v>2</v>
      </c>
      <c r="H14" s="166">
        <v>4</v>
      </c>
      <c r="I14" s="166">
        <v>4</v>
      </c>
      <c r="J14" s="166">
        <v>4</v>
      </c>
      <c r="K14" s="166">
        <v>2</v>
      </c>
      <c r="L14" s="201"/>
      <c r="M14" s="202"/>
      <c r="N14" s="197">
        <f t="shared" ref="N14:N18" si="0">SUM(F14:K14)</f>
        <v>16</v>
      </c>
      <c r="O14" s="198"/>
      <c r="P14" s="5"/>
      <c r="Q14" s="70" t="s">
        <v>41</v>
      </c>
      <c r="R14" s="2"/>
      <c r="S14" s="3"/>
    </row>
    <row r="15" spans="1:19" ht="48" customHeight="1" x14ac:dyDescent="0.15">
      <c r="A15" s="305"/>
      <c r="B15" s="193" t="s">
        <v>43</v>
      </c>
      <c r="C15" s="105" t="s">
        <v>45</v>
      </c>
      <c r="D15" s="106" t="s">
        <v>165</v>
      </c>
      <c r="E15" s="162" t="s">
        <v>46</v>
      </c>
      <c r="F15" s="108"/>
      <c r="G15" s="166">
        <v>2</v>
      </c>
      <c r="H15" s="166">
        <v>4</v>
      </c>
      <c r="I15" s="166">
        <v>4</v>
      </c>
      <c r="J15" s="166">
        <v>4</v>
      </c>
      <c r="K15" s="166">
        <v>2</v>
      </c>
      <c r="L15" s="201"/>
      <c r="M15" s="202"/>
      <c r="N15" s="197">
        <f t="shared" si="0"/>
        <v>16</v>
      </c>
      <c r="O15" s="198"/>
      <c r="P15" s="80" t="s">
        <v>42</v>
      </c>
      <c r="Q15" s="1"/>
      <c r="R15" s="2"/>
      <c r="S15" s="30"/>
    </row>
    <row r="16" spans="1:19" ht="48" customHeight="1" x14ac:dyDescent="0.15">
      <c r="A16" s="305"/>
      <c r="B16" s="193" t="s">
        <v>43</v>
      </c>
      <c r="C16" s="105" t="s">
        <v>162</v>
      </c>
      <c r="D16" s="106" t="s">
        <v>161</v>
      </c>
      <c r="E16" s="107" t="s">
        <v>39</v>
      </c>
      <c r="F16" s="108"/>
      <c r="G16" s="166">
        <v>2</v>
      </c>
      <c r="H16" s="166">
        <v>4</v>
      </c>
      <c r="I16" s="166">
        <v>4</v>
      </c>
      <c r="J16" s="166">
        <v>4</v>
      </c>
      <c r="K16" s="166">
        <v>2</v>
      </c>
      <c r="L16" s="201"/>
      <c r="M16" s="202"/>
      <c r="N16" s="197">
        <f t="shared" si="0"/>
        <v>16</v>
      </c>
      <c r="O16" s="198"/>
      <c r="P16" s="5"/>
      <c r="Q16" s="306">
        <v>0.65</v>
      </c>
      <c r="R16" s="306"/>
      <c r="S16" s="30"/>
    </row>
    <row r="17" spans="1:19" ht="48" customHeight="1" x14ac:dyDescent="0.15">
      <c r="A17" s="305"/>
      <c r="B17" s="193" t="s">
        <v>43</v>
      </c>
      <c r="C17" s="105" t="s">
        <v>163</v>
      </c>
      <c r="D17" s="106" t="s">
        <v>160</v>
      </c>
      <c r="E17" s="107" t="s">
        <v>39</v>
      </c>
      <c r="F17" s="108"/>
      <c r="G17" s="166">
        <v>1</v>
      </c>
      <c r="H17" s="166">
        <v>2</v>
      </c>
      <c r="I17" s="166">
        <v>2</v>
      </c>
      <c r="J17" s="166">
        <v>2</v>
      </c>
      <c r="K17" s="166">
        <v>1</v>
      </c>
      <c r="L17" s="201"/>
      <c r="M17" s="202"/>
      <c r="N17" s="197">
        <f t="shared" si="0"/>
        <v>8</v>
      </c>
      <c r="O17" s="198"/>
      <c r="P17" s="5"/>
      <c r="Q17" s="1"/>
      <c r="R17" s="69"/>
      <c r="S17" s="3"/>
    </row>
    <row r="18" spans="1:19" ht="48" customHeight="1" x14ac:dyDescent="0.15">
      <c r="A18" s="305"/>
      <c r="B18" s="193" t="s">
        <v>43</v>
      </c>
      <c r="C18" s="105" t="s">
        <v>164</v>
      </c>
      <c r="D18" s="106" t="s">
        <v>159</v>
      </c>
      <c r="E18" s="107" t="s">
        <v>39</v>
      </c>
      <c r="F18" s="108"/>
      <c r="G18" s="166">
        <v>2</v>
      </c>
      <c r="H18" s="166">
        <v>4</v>
      </c>
      <c r="I18" s="166">
        <v>4</v>
      </c>
      <c r="J18" s="166">
        <v>4</v>
      </c>
      <c r="K18" s="166">
        <v>2</v>
      </c>
      <c r="L18" s="201"/>
      <c r="M18" s="202"/>
      <c r="N18" s="197">
        <f t="shared" si="0"/>
        <v>16</v>
      </c>
      <c r="O18" s="198"/>
      <c r="P18" s="5"/>
      <c r="Q18" s="1"/>
      <c r="R18" s="69"/>
      <c r="S18" s="3"/>
    </row>
    <row r="19" spans="1:19" ht="48" customHeight="1" x14ac:dyDescent="0.15">
      <c r="A19" s="305"/>
      <c r="B19" s="193" t="s">
        <v>199</v>
      </c>
      <c r="C19" s="105" t="s">
        <v>192</v>
      </c>
      <c r="D19" s="106" t="s">
        <v>194</v>
      </c>
      <c r="E19" s="107" t="s">
        <v>39</v>
      </c>
      <c r="F19" s="108"/>
      <c r="G19" s="166">
        <v>2</v>
      </c>
      <c r="H19" s="166">
        <v>4</v>
      </c>
      <c r="I19" s="166">
        <v>4</v>
      </c>
      <c r="J19" s="166">
        <v>4</v>
      </c>
      <c r="K19" s="166">
        <v>2</v>
      </c>
      <c r="L19" s="201"/>
      <c r="M19" s="202"/>
      <c r="N19" s="197">
        <f t="shared" ref="N19" si="1">SUM(F19:K19)</f>
        <v>16</v>
      </c>
      <c r="O19" s="198"/>
      <c r="P19" s="5"/>
      <c r="Q19" s="1"/>
      <c r="R19" s="69"/>
      <c r="S19" s="3"/>
    </row>
    <row r="20" spans="1:19" ht="48" customHeight="1" x14ac:dyDescent="0.15">
      <c r="A20" s="305"/>
      <c r="B20" s="193" t="s">
        <v>198</v>
      </c>
      <c r="C20" s="105" t="s">
        <v>193</v>
      </c>
      <c r="D20" s="106" t="s">
        <v>195</v>
      </c>
      <c r="E20" s="107" t="s">
        <v>39</v>
      </c>
      <c r="F20" s="108"/>
      <c r="G20" s="166">
        <v>1</v>
      </c>
      <c r="H20" s="166">
        <v>2</v>
      </c>
      <c r="I20" s="166">
        <v>2</v>
      </c>
      <c r="J20" s="166">
        <v>2</v>
      </c>
      <c r="K20" s="166">
        <v>1</v>
      </c>
      <c r="L20" s="201"/>
      <c r="M20" s="202"/>
      <c r="N20" s="197">
        <f t="shared" ref="N20" si="2">SUM(F20:K20)</f>
        <v>8</v>
      </c>
      <c r="O20" s="198"/>
      <c r="P20" s="5"/>
      <c r="Q20" s="1"/>
      <c r="R20" s="69"/>
      <c r="S20" s="3"/>
    </row>
    <row r="21" spans="1:19" s="136" customFormat="1" ht="37.9" customHeight="1" x14ac:dyDescent="0.15">
      <c r="A21" s="301" t="s">
        <v>47</v>
      </c>
      <c r="B21" s="302"/>
      <c r="C21" s="302"/>
      <c r="D21" s="302"/>
      <c r="E21" s="303"/>
      <c r="F21" s="109">
        <f t="shared" ref="F21:K21" si="3">SUM(F13:F20)</f>
        <v>0</v>
      </c>
      <c r="G21" s="154">
        <f t="shared" si="3"/>
        <v>13</v>
      </c>
      <c r="H21" s="154">
        <f t="shared" si="3"/>
        <v>26</v>
      </c>
      <c r="I21" s="154">
        <f t="shared" si="3"/>
        <v>26</v>
      </c>
      <c r="J21" s="154">
        <f t="shared" si="3"/>
        <v>26</v>
      </c>
      <c r="K21" s="154">
        <f t="shared" si="3"/>
        <v>13</v>
      </c>
      <c r="L21" s="201"/>
      <c r="M21" s="202"/>
      <c r="N21" s="203">
        <f>SUM(N13:O20)</f>
        <v>104</v>
      </c>
      <c r="O21" s="204"/>
      <c r="P21" s="73"/>
      <c r="Q21" s="74"/>
      <c r="R21" s="75"/>
      <c r="S21" s="76"/>
    </row>
    <row r="22" spans="1:19" ht="48" customHeight="1" x14ac:dyDescent="0.15">
      <c r="A22" s="304" t="s">
        <v>197</v>
      </c>
      <c r="B22" s="104" t="s">
        <v>43</v>
      </c>
      <c r="C22" s="105" t="s">
        <v>163</v>
      </c>
      <c r="D22" s="106" t="s">
        <v>160</v>
      </c>
      <c r="E22" s="107" t="s">
        <v>39</v>
      </c>
      <c r="F22" s="108"/>
      <c r="G22" s="166"/>
      <c r="H22" s="166">
        <v>140</v>
      </c>
      <c r="I22" s="166">
        <v>600</v>
      </c>
      <c r="J22" s="166">
        <v>500</v>
      </c>
      <c r="K22" s="166">
        <v>90</v>
      </c>
      <c r="L22" s="199" t="s">
        <v>196</v>
      </c>
      <c r="M22" s="200"/>
      <c r="N22" s="197">
        <f>SUM(F22:K22)</f>
        <v>1330</v>
      </c>
      <c r="O22" s="198"/>
      <c r="P22" s="181"/>
      <c r="Q22" s="182"/>
      <c r="R22" s="183"/>
      <c r="S22" s="184"/>
    </row>
    <row r="23" spans="1:19" ht="48" customHeight="1" x14ac:dyDescent="0.15">
      <c r="A23" s="305"/>
      <c r="B23" s="104" t="s">
        <v>43</v>
      </c>
      <c r="C23" s="105" t="s">
        <v>164</v>
      </c>
      <c r="D23" s="106" t="s">
        <v>159</v>
      </c>
      <c r="E23" s="107" t="s">
        <v>39</v>
      </c>
      <c r="F23" s="108"/>
      <c r="G23" s="166"/>
      <c r="H23" s="166">
        <v>180</v>
      </c>
      <c r="I23" s="166">
        <v>720</v>
      </c>
      <c r="J23" s="166">
        <v>640</v>
      </c>
      <c r="K23" s="166">
        <v>110</v>
      </c>
      <c r="L23" s="201"/>
      <c r="M23" s="202"/>
      <c r="N23" s="197">
        <f t="shared" ref="N23:N29" si="4">SUM(F23:K23)</f>
        <v>1650</v>
      </c>
      <c r="O23" s="198"/>
      <c r="P23" s="185"/>
      <c r="Q23" s="186"/>
      <c r="R23" s="187"/>
      <c r="S23" s="188"/>
    </row>
    <row r="24" spans="1:19" ht="48" customHeight="1" x14ac:dyDescent="0.15">
      <c r="A24" s="305"/>
      <c r="B24" s="104" t="s">
        <v>43</v>
      </c>
      <c r="C24" s="105" t="s">
        <v>162</v>
      </c>
      <c r="D24" s="106" t="s">
        <v>161</v>
      </c>
      <c r="E24" s="107" t="s">
        <v>39</v>
      </c>
      <c r="F24" s="108"/>
      <c r="G24" s="166"/>
      <c r="H24" s="166">
        <v>50</v>
      </c>
      <c r="I24" s="166">
        <v>430</v>
      </c>
      <c r="J24" s="166">
        <v>440</v>
      </c>
      <c r="K24" s="166">
        <v>220</v>
      </c>
      <c r="L24" s="201"/>
      <c r="M24" s="202"/>
      <c r="N24" s="197">
        <f t="shared" si="4"/>
        <v>1140</v>
      </c>
      <c r="O24" s="198"/>
      <c r="P24" s="189"/>
      <c r="Q24" s="190"/>
      <c r="R24" s="187"/>
      <c r="S24" s="191"/>
    </row>
    <row r="25" spans="1:19" ht="48" customHeight="1" x14ac:dyDescent="0.15">
      <c r="A25" s="305"/>
      <c r="B25" s="104" t="s">
        <v>43</v>
      </c>
      <c r="C25" s="105" t="s">
        <v>44</v>
      </c>
      <c r="D25" s="106" t="s">
        <v>157</v>
      </c>
      <c r="E25" s="107" t="s">
        <v>39</v>
      </c>
      <c r="F25" s="108"/>
      <c r="G25" s="166"/>
      <c r="H25" s="166">
        <v>720</v>
      </c>
      <c r="I25" s="166">
        <v>20</v>
      </c>
      <c r="J25" s="166">
        <v>1030</v>
      </c>
      <c r="K25" s="166">
        <v>160</v>
      </c>
      <c r="L25" s="201"/>
      <c r="M25" s="202"/>
      <c r="N25" s="197">
        <f t="shared" si="4"/>
        <v>1930</v>
      </c>
      <c r="O25" s="198"/>
      <c r="P25" s="185"/>
      <c r="Q25" s="323"/>
      <c r="R25" s="323"/>
      <c r="S25" s="191"/>
    </row>
    <row r="26" spans="1:19" ht="48" customHeight="1" x14ac:dyDescent="0.15">
      <c r="A26" s="305"/>
      <c r="B26" s="104" t="s">
        <v>43</v>
      </c>
      <c r="C26" s="105" t="s">
        <v>45</v>
      </c>
      <c r="D26" s="106" t="s">
        <v>165</v>
      </c>
      <c r="E26" s="162" t="s">
        <v>46</v>
      </c>
      <c r="F26" s="108"/>
      <c r="G26" s="166">
        <v>230</v>
      </c>
      <c r="H26" s="166">
        <v>880</v>
      </c>
      <c r="I26" s="166">
        <v>190</v>
      </c>
      <c r="J26" s="166">
        <v>1010</v>
      </c>
      <c r="K26" s="166"/>
      <c r="L26" s="201"/>
      <c r="M26" s="202"/>
      <c r="N26" s="197">
        <f t="shared" si="4"/>
        <v>2310</v>
      </c>
      <c r="O26" s="198"/>
      <c r="P26" s="185"/>
      <c r="Q26" s="190"/>
      <c r="R26" s="192"/>
      <c r="S26" s="188"/>
    </row>
    <row r="27" spans="1:19" ht="48" customHeight="1" x14ac:dyDescent="0.15">
      <c r="A27" s="305"/>
      <c r="B27" s="104" t="s">
        <v>198</v>
      </c>
      <c r="C27" s="105" t="s">
        <v>193</v>
      </c>
      <c r="D27" s="106" t="s">
        <v>195</v>
      </c>
      <c r="E27" s="107" t="s">
        <v>39</v>
      </c>
      <c r="F27" s="108"/>
      <c r="G27" s="166"/>
      <c r="H27" s="166">
        <v>80</v>
      </c>
      <c r="I27" s="166">
        <v>420</v>
      </c>
      <c r="J27" s="166">
        <v>190</v>
      </c>
      <c r="K27" s="166"/>
      <c r="L27" s="201"/>
      <c r="M27" s="202"/>
      <c r="N27" s="197">
        <f t="shared" si="4"/>
        <v>690</v>
      </c>
      <c r="O27" s="198"/>
      <c r="P27" s="5"/>
      <c r="Q27" s="1"/>
      <c r="R27" s="69"/>
      <c r="S27" s="3"/>
    </row>
    <row r="28" spans="1:19" ht="48" customHeight="1" x14ac:dyDescent="0.15">
      <c r="A28" s="305"/>
      <c r="B28" s="104" t="s">
        <v>37</v>
      </c>
      <c r="C28" s="105" t="s">
        <v>38</v>
      </c>
      <c r="D28" s="106" t="s">
        <v>200</v>
      </c>
      <c r="E28" s="107" t="s">
        <v>39</v>
      </c>
      <c r="F28" s="108"/>
      <c r="G28" s="166"/>
      <c r="H28" s="166">
        <v>90</v>
      </c>
      <c r="I28" s="166">
        <v>610</v>
      </c>
      <c r="J28" s="166">
        <v>760</v>
      </c>
      <c r="K28" s="166">
        <v>180</v>
      </c>
      <c r="L28" s="201"/>
      <c r="M28" s="202"/>
      <c r="N28" s="197">
        <f t="shared" si="4"/>
        <v>1640</v>
      </c>
      <c r="O28" s="198"/>
      <c r="P28" s="5"/>
      <c r="Q28" s="1"/>
      <c r="R28" s="69"/>
      <c r="S28" s="3"/>
    </row>
    <row r="29" spans="1:19" ht="48" customHeight="1" x14ac:dyDescent="0.15">
      <c r="A29" s="305"/>
      <c r="B29" s="104" t="s">
        <v>199</v>
      </c>
      <c r="C29" s="105" t="s">
        <v>192</v>
      </c>
      <c r="D29" s="106" t="s">
        <v>194</v>
      </c>
      <c r="E29" s="107" t="s">
        <v>39</v>
      </c>
      <c r="F29" s="108"/>
      <c r="G29" s="166"/>
      <c r="H29" s="166">
        <v>210</v>
      </c>
      <c r="I29" s="166">
        <v>700</v>
      </c>
      <c r="J29" s="166">
        <v>330</v>
      </c>
      <c r="K29" s="166">
        <v>70</v>
      </c>
      <c r="L29" s="201"/>
      <c r="M29" s="202"/>
      <c r="N29" s="197">
        <f t="shared" si="4"/>
        <v>1310</v>
      </c>
      <c r="O29" s="198"/>
      <c r="P29" s="5"/>
      <c r="Q29" s="1"/>
      <c r="R29" s="69"/>
      <c r="S29" s="3"/>
    </row>
    <row r="30" spans="1:19" s="136" customFormat="1" ht="37.9" customHeight="1" x14ac:dyDescent="0.15">
      <c r="A30" s="301" t="s">
        <v>47</v>
      </c>
      <c r="B30" s="302"/>
      <c r="C30" s="302"/>
      <c r="D30" s="302"/>
      <c r="E30" s="303"/>
      <c r="F30" s="109">
        <f t="shared" ref="F30:K30" si="5">SUM(F22:F29)</f>
        <v>0</v>
      </c>
      <c r="G30" s="154">
        <f t="shared" si="5"/>
        <v>230</v>
      </c>
      <c r="H30" s="154">
        <f t="shared" si="5"/>
        <v>2350</v>
      </c>
      <c r="I30" s="154">
        <f t="shared" si="5"/>
        <v>3690</v>
      </c>
      <c r="J30" s="154">
        <f t="shared" si="5"/>
        <v>4900</v>
      </c>
      <c r="K30" s="154">
        <f t="shared" si="5"/>
        <v>830</v>
      </c>
      <c r="L30" s="201"/>
      <c r="M30" s="202"/>
      <c r="N30" s="203">
        <f>SUM(N22:O29)</f>
        <v>12000</v>
      </c>
      <c r="O30" s="204"/>
      <c r="P30" s="73"/>
      <c r="Q30" s="74"/>
      <c r="R30" s="75"/>
      <c r="S30" s="76"/>
    </row>
    <row r="31" spans="1:19" ht="48" customHeight="1" x14ac:dyDescent="0.15">
      <c r="A31" s="304" t="s">
        <v>201</v>
      </c>
      <c r="B31" s="104" t="s">
        <v>43</v>
      </c>
      <c r="C31" s="105" t="s">
        <v>163</v>
      </c>
      <c r="D31" s="106" t="s">
        <v>160</v>
      </c>
      <c r="E31" s="107" t="s">
        <v>39</v>
      </c>
      <c r="F31" s="108"/>
      <c r="G31" s="166"/>
      <c r="H31" s="166">
        <v>210</v>
      </c>
      <c r="I31" s="166">
        <v>550</v>
      </c>
      <c r="J31" s="166">
        <v>490</v>
      </c>
      <c r="K31" s="166">
        <v>90</v>
      </c>
      <c r="L31" s="199" t="s">
        <v>202</v>
      </c>
      <c r="M31" s="200"/>
      <c r="N31" s="197">
        <f>SUM(F31:K31)</f>
        <v>1340</v>
      </c>
      <c r="O31" s="198"/>
      <c r="P31" s="181"/>
      <c r="Q31" s="182"/>
      <c r="R31" s="183"/>
      <c r="S31" s="184"/>
    </row>
    <row r="32" spans="1:19" ht="48" customHeight="1" x14ac:dyDescent="0.15">
      <c r="A32" s="305"/>
      <c r="B32" s="104" t="s">
        <v>43</v>
      </c>
      <c r="C32" s="105" t="s">
        <v>164</v>
      </c>
      <c r="D32" s="106" t="s">
        <v>159</v>
      </c>
      <c r="E32" s="107" t="s">
        <v>39</v>
      </c>
      <c r="F32" s="108"/>
      <c r="G32" s="166"/>
      <c r="H32" s="166">
        <v>220</v>
      </c>
      <c r="I32" s="166">
        <v>670</v>
      </c>
      <c r="J32" s="166">
        <v>610</v>
      </c>
      <c r="K32" s="166">
        <v>170</v>
      </c>
      <c r="L32" s="201"/>
      <c r="M32" s="202"/>
      <c r="N32" s="197">
        <f t="shared" ref="N32:N38" si="6">SUM(F32:K32)</f>
        <v>1670</v>
      </c>
      <c r="O32" s="198"/>
      <c r="P32" s="185"/>
      <c r="Q32" s="186"/>
      <c r="R32" s="187"/>
      <c r="S32" s="188"/>
    </row>
    <row r="33" spans="1:19" ht="48" customHeight="1" x14ac:dyDescent="0.15">
      <c r="A33" s="305"/>
      <c r="B33" s="104" t="s">
        <v>43</v>
      </c>
      <c r="C33" s="105" t="s">
        <v>162</v>
      </c>
      <c r="D33" s="106" t="s">
        <v>161</v>
      </c>
      <c r="E33" s="107" t="s">
        <v>39</v>
      </c>
      <c r="F33" s="108"/>
      <c r="G33" s="166"/>
      <c r="H33" s="166">
        <v>110</v>
      </c>
      <c r="I33" s="166">
        <v>440</v>
      </c>
      <c r="J33" s="166">
        <v>360</v>
      </c>
      <c r="K33" s="166">
        <v>240</v>
      </c>
      <c r="L33" s="201"/>
      <c r="M33" s="202"/>
      <c r="N33" s="197">
        <f t="shared" si="6"/>
        <v>1150</v>
      </c>
      <c r="O33" s="198"/>
      <c r="P33" s="189"/>
      <c r="Q33" s="190"/>
      <c r="R33" s="187"/>
      <c r="S33" s="191"/>
    </row>
    <row r="34" spans="1:19" ht="48" customHeight="1" x14ac:dyDescent="0.15">
      <c r="A34" s="305"/>
      <c r="B34" s="104" t="s">
        <v>43</v>
      </c>
      <c r="C34" s="105" t="s">
        <v>44</v>
      </c>
      <c r="D34" s="106" t="s">
        <v>157</v>
      </c>
      <c r="E34" s="107" t="s">
        <v>39</v>
      </c>
      <c r="F34" s="108"/>
      <c r="G34" s="166"/>
      <c r="H34" s="166">
        <v>600</v>
      </c>
      <c r="I34" s="166">
        <v>320</v>
      </c>
      <c r="J34" s="166">
        <v>810</v>
      </c>
      <c r="K34" s="166">
        <v>210</v>
      </c>
      <c r="L34" s="201"/>
      <c r="M34" s="202"/>
      <c r="N34" s="197">
        <f t="shared" si="6"/>
        <v>1940</v>
      </c>
      <c r="O34" s="198"/>
      <c r="P34" s="185"/>
      <c r="Q34" s="323"/>
      <c r="R34" s="323"/>
      <c r="S34" s="191"/>
    </row>
    <row r="35" spans="1:19" ht="48" customHeight="1" x14ac:dyDescent="0.15">
      <c r="A35" s="305"/>
      <c r="B35" s="104" t="s">
        <v>43</v>
      </c>
      <c r="C35" s="105" t="s">
        <v>45</v>
      </c>
      <c r="D35" s="106" t="s">
        <v>165</v>
      </c>
      <c r="E35" s="162" t="s">
        <v>46</v>
      </c>
      <c r="F35" s="108"/>
      <c r="G35" s="166">
        <v>190</v>
      </c>
      <c r="H35" s="166">
        <v>690</v>
      </c>
      <c r="I35" s="166">
        <v>470</v>
      </c>
      <c r="J35" s="166">
        <v>870</v>
      </c>
      <c r="K35" s="166">
        <v>110</v>
      </c>
      <c r="L35" s="201"/>
      <c r="M35" s="202"/>
      <c r="N35" s="197">
        <f t="shared" si="6"/>
        <v>2330</v>
      </c>
      <c r="O35" s="198"/>
      <c r="P35" s="185"/>
      <c r="Q35" s="190"/>
      <c r="R35" s="192"/>
      <c r="S35" s="188"/>
    </row>
    <row r="36" spans="1:19" ht="48" customHeight="1" x14ac:dyDescent="0.15">
      <c r="A36" s="305"/>
      <c r="B36" s="104" t="s">
        <v>198</v>
      </c>
      <c r="C36" s="105" t="s">
        <v>193</v>
      </c>
      <c r="D36" s="106" t="s">
        <v>195</v>
      </c>
      <c r="E36" s="107" t="s">
        <v>39</v>
      </c>
      <c r="F36" s="108"/>
      <c r="G36" s="166"/>
      <c r="H36" s="166">
        <v>90</v>
      </c>
      <c r="I36" s="166">
        <v>360</v>
      </c>
      <c r="J36" s="166">
        <v>210</v>
      </c>
      <c r="K36" s="166">
        <v>30</v>
      </c>
      <c r="L36" s="201"/>
      <c r="M36" s="202"/>
      <c r="N36" s="197">
        <f t="shared" si="6"/>
        <v>690</v>
      </c>
      <c r="O36" s="198"/>
      <c r="P36" s="5"/>
      <c r="Q36" s="1"/>
      <c r="R36" s="69"/>
      <c r="S36" s="3"/>
    </row>
    <row r="37" spans="1:19" ht="48" customHeight="1" x14ac:dyDescent="0.15">
      <c r="A37" s="305"/>
      <c r="B37" s="104" t="s">
        <v>37</v>
      </c>
      <c r="C37" s="105" t="s">
        <v>38</v>
      </c>
      <c r="D37" s="106" t="s">
        <v>200</v>
      </c>
      <c r="E37" s="107" t="s">
        <v>39</v>
      </c>
      <c r="F37" s="108"/>
      <c r="G37" s="166"/>
      <c r="H37" s="166">
        <v>190</v>
      </c>
      <c r="I37" s="166">
        <v>590</v>
      </c>
      <c r="J37" s="166">
        <v>660</v>
      </c>
      <c r="K37" s="166">
        <v>220</v>
      </c>
      <c r="L37" s="201"/>
      <c r="M37" s="202"/>
      <c r="N37" s="197">
        <f t="shared" si="6"/>
        <v>1660</v>
      </c>
      <c r="O37" s="198"/>
      <c r="P37" s="5"/>
      <c r="Q37" s="1"/>
      <c r="R37" s="69"/>
      <c r="S37" s="3"/>
    </row>
    <row r="38" spans="1:19" ht="48" customHeight="1" x14ac:dyDescent="0.15">
      <c r="A38" s="305"/>
      <c r="B38" s="104" t="s">
        <v>199</v>
      </c>
      <c r="C38" s="105" t="s">
        <v>192</v>
      </c>
      <c r="D38" s="106" t="s">
        <v>194</v>
      </c>
      <c r="E38" s="107" t="s">
        <v>39</v>
      </c>
      <c r="F38" s="108"/>
      <c r="G38" s="166"/>
      <c r="H38" s="166">
        <v>240</v>
      </c>
      <c r="I38" s="166">
        <v>560</v>
      </c>
      <c r="J38" s="166">
        <v>390</v>
      </c>
      <c r="K38" s="166">
        <v>130</v>
      </c>
      <c r="L38" s="201"/>
      <c r="M38" s="202"/>
      <c r="N38" s="197">
        <f t="shared" si="6"/>
        <v>1320</v>
      </c>
      <c r="O38" s="198"/>
      <c r="P38" s="5"/>
      <c r="Q38" s="1"/>
      <c r="R38" s="69"/>
      <c r="S38" s="3"/>
    </row>
    <row r="39" spans="1:19" s="136" customFormat="1" ht="37.9" customHeight="1" x14ac:dyDescent="0.15">
      <c r="A39" s="301" t="s">
        <v>47</v>
      </c>
      <c r="B39" s="302"/>
      <c r="C39" s="302"/>
      <c r="D39" s="302"/>
      <c r="E39" s="303"/>
      <c r="F39" s="109">
        <f t="shared" ref="F39:K39" si="7">SUM(F31:F38)</f>
        <v>0</v>
      </c>
      <c r="G39" s="154">
        <f t="shared" si="7"/>
        <v>190</v>
      </c>
      <c r="H39" s="154">
        <f t="shared" si="7"/>
        <v>2350</v>
      </c>
      <c r="I39" s="154">
        <f t="shared" si="7"/>
        <v>3960</v>
      </c>
      <c r="J39" s="154">
        <f t="shared" si="7"/>
        <v>4400</v>
      </c>
      <c r="K39" s="154">
        <f t="shared" si="7"/>
        <v>1200</v>
      </c>
      <c r="L39" s="201"/>
      <c r="M39" s="202"/>
      <c r="N39" s="203">
        <f>SUM(N31:O38)</f>
        <v>12100</v>
      </c>
      <c r="O39" s="204"/>
      <c r="P39" s="73"/>
      <c r="Q39" s="74"/>
      <c r="R39" s="75"/>
      <c r="S39" s="76"/>
    </row>
    <row r="40" spans="1:19" ht="48" customHeight="1" x14ac:dyDescent="0.15">
      <c r="A40" s="304" t="s">
        <v>203</v>
      </c>
      <c r="B40" s="104" t="s">
        <v>43</v>
      </c>
      <c r="C40" s="105" t="s">
        <v>163</v>
      </c>
      <c r="D40" s="106" t="s">
        <v>160</v>
      </c>
      <c r="E40" s="107" t="s">
        <v>39</v>
      </c>
      <c r="F40" s="108"/>
      <c r="G40" s="166">
        <v>10</v>
      </c>
      <c r="H40" s="166">
        <v>270</v>
      </c>
      <c r="I40" s="166">
        <v>470</v>
      </c>
      <c r="J40" s="166">
        <v>390</v>
      </c>
      <c r="K40" s="166">
        <v>190</v>
      </c>
      <c r="L40" s="199" t="s">
        <v>204</v>
      </c>
      <c r="M40" s="200"/>
      <c r="N40" s="197">
        <f>SUM(F40:K40)</f>
        <v>1330</v>
      </c>
      <c r="O40" s="198"/>
      <c r="P40" s="181"/>
      <c r="Q40" s="182"/>
      <c r="R40" s="183"/>
      <c r="S40" s="184"/>
    </row>
    <row r="41" spans="1:19" ht="48" customHeight="1" x14ac:dyDescent="0.15">
      <c r="A41" s="305"/>
      <c r="B41" s="104" t="s">
        <v>43</v>
      </c>
      <c r="C41" s="105" t="s">
        <v>164</v>
      </c>
      <c r="D41" s="106" t="s">
        <v>159</v>
      </c>
      <c r="E41" s="107" t="s">
        <v>39</v>
      </c>
      <c r="F41" s="108"/>
      <c r="G41" s="166">
        <v>10</v>
      </c>
      <c r="H41" s="166">
        <v>300</v>
      </c>
      <c r="I41" s="166">
        <v>610</v>
      </c>
      <c r="J41" s="166">
        <v>520</v>
      </c>
      <c r="K41" s="166">
        <v>230</v>
      </c>
      <c r="L41" s="201"/>
      <c r="M41" s="202"/>
      <c r="N41" s="197">
        <f t="shared" ref="N41:N47" si="8">SUM(F41:K41)</f>
        <v>1670</v>
      </c>
      <c r="O41" s="198"/>
      <c r="P41" s="185"/>
      <c r="Q41" s="186"/>
      <c r="R41" s="187"/>
      <c r="S41" s="188"/>
    </row>
    <row r="42" spans="1:19" ht="48" customHeight="1" x14ac:dyDescent="0.15">
      <c r="A42" s="305"/>
      <c r="B42" s="104" t="s">
        <v>43</v>
      </c>
      <c r="C42" s="105" t="s">
        <v>162</v>
      </c>
      <c r="D42" s="106" t="s">
        <v>161</v>
      </c>
      <c r="E42" s="107" t="s">
        <v>39</v>
      </c>
      <c r="F42" s="108"/>
      <c r="G42" s="166">
        <v>10</v>
      </c>
      <c r="H42" s="166">
        <v>200</v>
      </c>
      <c r="I42" s="166">
        <v>390</v>
      </c>
      <c r="J42" s="166">
        <v>350</v>
      </c>
      <c r="K42" s="166">
        <v>200</v>
      </c>
      <c r="L42" s="201"/>
      <c r="M42" s="202"/>
      <c r="N42" s="197">
        <f t="shared" si="8"/>
        <v>1150</v>
      </c>
      <c r="O42" s="198"/>
      <c r="P42" s="189"/>
      <c r="Q42" s="190"/>
      <c r="R42" s="187"/>
      <c r="S42" s="191"/>
    </row>
    <row r="43" spans="1:19" ht="48" customHeight="1" x14ac:dyDescent="0.15">
      <c r="A43" s="305"/>
      <c r="B43" s="104" t="s">
        <v>43</v>
      </c>
      <c r="C43" s="105" t="s">
        <v>44</v>
      </c>
      <c r="D43" s="106" t="s">
        <v>157</v>
      </c>
      <c r="E43" s="107" t="s">
        <v>39</v>
      </c>
      <c r="F43" s="108"/>
      <c r="G43" s="166">
        <v>20</v>
      </c>
      <c r="H43" s="166">
        <v>480</v>
      </c>
      <c r="I43" s="166">
        <v>480</v>
      </c>
      <c r="J43" s="166">
        <v>650</v>
      </c>
      <c r="K43" s="166">
        <v>310</v>
      </c>
      <c r="L43" s="201"/>
      <c r="M43" s="202"/>
      <c r="N43" s="197">
        <f t="shared" si="8"/>
        <v>1940</v>
      </c>
      <c r="O43" s="198"/>
      <c r="P43" s="185"/>
      <c r="Q43" s="323"/>
      <c r="R43" s="323"/>
      <c r="S43" s="191"/>
    </row>
    <row r="44" spans="1:19" ht="48" customHeight="1" x14ac:dyDescent="0.15">
      <c r="A44" s="305"/>
      <c r="B44" s="104" t="s">
        <v>43</v>
      </c>
      <c r="C44" s="105" t="s">
        <v>45</v>
      </c>
      <c r="D44" s="106" t="s">
        <v>165</v>
      </c>
      <c r="E44" s="162" t="s">
        <v>46</v>
      </c>
      <c r="F44" s="108"/>
      <c r="G44" s="166">
        <v>170</v>
      </c>
      <c r="H44" s="166">
        <v>550</v>
      </c>
      <c r="I44" s="166">
        <v>620</v>
      </c>
      <c r="J44" s="166">
        <v>700</v>
      </c>
      <c r="K44" s="166">
        <v>290</v>
      </c>
      <c r="L44" s="201"/>
      <c r="M44" s="202"/>
      <c r="N44" s="197">
        <f t="shared" si="8"/>
        <v>2330</v>
      </c>
      <c r="O44" s="198"/>
      <c r="P44" s="185"/>
      <c r="Q44" s="190"/>
      <c r="R44" s="192"/>
      <c r="S44" s="188"/>
    </row>
    <row r="45" spans="1:19" ht="48" customHeight="1" x14ac:dyDescent="0.15">
      <c r="A45" s="305"/>
      <c r="B45" s="104" t="s">
        <v>198</v>
      </c>
      <c r="C45" s="105" t="s">
        <v>193</v>
      </c>
      <c r="D45" s="106" t="s">
        <v>195</v>
      </c>
      <c r="E45" s="107" t="s">
        <v>39</v>
      </c>
      <c r="F45" s="108"/>
      <c r="G45" s="166"/>
      <c r="H45" s="166">
        <v>130</v>
      </c>
      <c r="I45" s="166">
        <v>320</v>
      </c>
      <c r="J45" s="166">
        <v>210</v>
      </c>
      <c r="K45" s="166">
        <v>30</v>
      </c>
      <c r="L45" s="201"/>
      <c r="M45" s="202"/>
      <c r="N45" s="197">
        <f t="shared" si="8"/>
        <v>690</v>
      </c>
      <c r="O45" s="198"/>
      <c r="P45" s="5"/>
      <c r="Q45" s="1"/>
      <c r="R45" s="69"/>
      <c r="S45" s="3"/>
    </row>
    <row r="46" spans="1:19" ht="48" customHeight="1" x14ac:dyDescent="0.15">
      <c r="A46" s="305"/>
      <c r="B46" s="104" t="s">
        <v>199</v>
      </c>
      <c r="C46" s="105" t="s">
        <v>192</v>
      </c>
      <c r="D46" s="106" t="s">
        <v>194</v>
      </c>
      <c r="E46" s="107" t="s">
        <v>39</v>
      </c>
      <c r="F46" s="108">
        <v>10</v>
      </c>
      <c r="G46" s="166"/>
      <c r="H46" s="166">
        <v>280</v>
      </c>
      <c r="I46" s="166">
        <v>520</v>
      </c>
      <c r="J46" s="166">
        <v>360</v>
      </c>
      <c r="K46" s="166">
        <v>150</v>
      </c>
      <c r="L46" s="201"/>
      <c r="M46" s="202"/>
      <c r="N46" s="197">
        <f t="shared" si="8"/>
        <v>1320</v>
      </c>
      <c r="O46" s="198"/>
      <c r="P46" s="5"/>
      <c r="Q46" s="1"/>
      <c r="R46" s="69"/>
      <c r="S46" s="3"/>
    </row>
    <row r="47" spans="1:19" ht="48" customHeight="1" x14ac:dyDescent="0.15">
      <c r="A47" s="305"/>
      <c r="B47" s="104" t="s">
        <v>37</v>
      </c>
      <c r="C47" s="105" t="s">
        <v>38</v>
      </c>
      <c r="D47" s="106" t="s">
        <v>200</v>
      </c>
      <c r="E47" s="107" t="s">
        <v>39</v>
      </c>
      <c r="F47" s="108"/>
      <c r="G47" s="166"/>
      <c r="H47" s="166">
        <v>290</v>
      </c>
      <c r="I47" s="166">
        <v>570</v>
      </c>
      <c r="J47" s="166">
        <v>560</v>
      </c>
      <c r="K47" s="166">
        <v>240</v>
      </c>
      <c r="L47" s="201"/>
      <c r="M47" s="202"/>
      <c r="N47" s="197">
        <f t="shared" si="8"/>
        <v>1660</v>
      </c>
      <c r="O47" s="198"/>
      <c r="P47" s="5"/>
      <c r="Q47" s="1"/>
      <c r="R47" s="69"/>
      <c r="S47" s="3"/>
    </row>
    <row r="48" spans="1:19" s="136" customFormat="1" ht="37.9" customHeight="1" x14ac:dyDescent="0.15">
      <c r="A48" s="301" t="s">
        <v>47</v>
      </c>
      <c r="B48" s="302"/>
      <c r="C48" s="302"/>
      <c r="D48" s="302"/>
      <c r="E48" s="303"/>
      <c r="F48" s="109">
        <f t="shared" ref="F48:K48" si="9">SUM(F40:F47)</f>
        <v>10</v>
      </c>
      <c r="G48" s="154">
        <f t="shared" si="9"/>
        <v>220</v>
      </c>
      <c r="H48" s="154">
        <f t="shared" si="9"/>
        <v>2500</v>
      </c>
      <c r="I48" s="154">
        <f t="shared" si="9"/>
        <v>3980</v>
      </c>
      <c r="J48" s="154">
        <f t="shared" si="9"/>
        <v>3740</v>
      </c>
      <c r="K48" s="154">
        <f t="shared" si="9"/>
        <v>1640</v>
      </c>
      <c r="L48" s="201"/>
      <c r="M48" s="202"/>
      <c r="N48" s="203">
        <f>SUM(N40:O47)</f>
        <v>12090</v>
      </c>
      <c r="O48" s="204"/>
      <c r="P48" s="73"/>
      <c r="Q48" s="74"/>
      <c r="R48" s="75"/>
      <c r="S48" s="76"/>
    </row>
    <row r="49" spans="1:27" ht="48" customHeight="1" x14ac:dyDescent="0.15">
      <c r="A49" s="304" t="s">
        <v>205</v>
      </c>
      <c r="B49" s="104" t="s">
        <v>43</v>
      </c>
      <c r="C49" s="105" t="s">
        <v>163</v>
      </c>
      <c r="D49" s="106" t="s">
        <v>160</v>
      </c>
      <c r="E49" s="107" t="s">
        <v>39</v>
      </c>
      <c r="F49" s="108"/>
      <c r="G49" s="166">
        <v>50</v>
      </c>
      <c r="H49" s="166">
        <v>290</v>
      </c>
      <c r="I49" s="166">
        <v>430</v>
      </c>
      <c r="J49" s="166">
        <v>380</v>
      </c>
      <c r="K49" s="166">
        <v>190</v>
      </c>
      <c r="L49" s="199" t="s">
        <v>206</v>
      </c>
      <c r="M49" s="200"/>
      <c r="N49" s="197">
        <f>SUM(F49:K49)</f>
        <v>1340</v>
      </c>
      <c r="O49" s="198"/>
      <c r="P49" s="181"/>
      <c r="Q49" s="182"/>
      <c r="R49" s="183"/>
      <c r="S49" s="184"/>
    </row>
    <row r="50" spans="1:27" ht="48" customHeight="1" x14ac:dyDescent="0.15">
      <c r="A50" s="305"/>
      <c r="B50" s="104" t="s">
        <v>43</v>
      </c>
      <c r="C50" s="105" t="s">
        <v>164</v>
      </c>
      <c r="D50" s="106" t="s">
        <v>159</v>
      </c>
      <c r="E50" s="107" t="s">
        <v>39</v>
      </c>
      <c r="F50" s="108"/>
      <c r="G50" s="166">
        <v>90</v>
      </c>
      <c r="H50" s="166">
        <v>350</v>
      </c>
      <c r="I50" s="166">
        <v>530</v>
      </c>
      <c r="J50" s="166">
        <v>440</v>
      </c>
      <c r="K50" s="166">
        <v>260</v>
      </c>
      <c r="L50" s="201"/>
      <c r="M50" s="202"/>
      <c r="N50" s="197">
        <f t="shared" ref="N50:N56" si="10">SUM(F50:K50)</f>
        <v>1670</v>
      </c>
      <c r="O50" s="198"/>
      <c r="P50" s="185"/>
      <c r="Q50" s="186"/>
      <c r="R50" s="187"/>
      <c r="S50" s="188"/>
    </row>
    <row r="51" spans="1:27" ht="48" customHeight="1" x14ac:dyDescent="0.15">
      <c r="A51" s="305"/>
      <c r="B51" s="104" t="s">
        <v>43</v>
      </c>
      <c r="C51" s="105" t="s">
        <v>162</v>
      </c>
      <c r="D51" s="106" t="s">
        <v>161</v>
      </c>
      <c r="E51" s="107" t="s">
        <v>39</v>
      </c>
      <c r="F51" s="108"/>
      <c r="G51" s="166">
        <v>20</v>
      </c>
      <c r="H51" s="166">
        <v>220</v>
      </c>
      <c r="I51" s="166">
        <v>390</v>
      </c>
      <c r="J51" s="166">
        <v>330</v>
      </c>
      <c r="K51" s="166">
        <v>190</v>
      </c>
      <c r="L51" s="201"/>
      <c r="M51" s="202"/>
      <c r="N51" s="197">
        <f t="shared" si="10"/>
        <v>1150</v>
      </c>
      <c r="O51" s="198"/>
      <c r="P51" s="189"/>
      <c r="Q51" s="190"/>
      <c r="R51" s="187"/>
      <c r="S51" s="191"/>
    </row>
    <row r="52" spans="1:27" ht="48" customHeight="1" x14ac:dyDescent="0.15">
      <c r="A52" s="305"/>
      <c r="B52" s="104" t="s">
        <v>43</v>
      </c>
      <c r="C52" s="105" t="s">
        <v>44</v>
      </c>
      <c r="D52" s="106" t="s">
        <v>157</v>
      </c>
      <c r="E52" s="107" t="s">
        <v>39</v>
      </c>
      <c r="F52" s="108"/>
      <c r="G52" s="166">
        <v>110</v>
      </c>
      <c r="H52" s="166">
        <v>470</v>
      </c>
      <c r="I52" s="166">
        <v>520</v>
      </c>
      <c r="J52" s="166">
        <v>540</v>
      </c>
      <c r="K52" s="166">
        <v>300</v>
      </c>
      <c r="L52" s="201"/>
      <c r="M52" s="202"/>
      <c r="N52" s="197">
        <f t="shared" si="10"/>
        <v>1940</v>
      </c>
      <c r="O52" s="198"/>
      <c r="P52" s="185"/>
      <c r="Q52" s="323"/>
      <c r="R52" s="323"/>
      <c r="S52" s="191"/>
    </row>
    <row r="53" spans="1:27" ht="48" customHeight="1" x14ac:dyDescent="0.15">
      <c r="A53" s="305"/>
      <c r="B53" s="104" t="s">
        <v>43</v>
      </c>
      <c r="C53" s="105" t="s">
        <v>45</v>
      </c>
      <c r="D53" s="106" t="s">
        <v>165</v>
      </c>
      <c r="E53" s="162" t="s">
        <v>46</v>
      </c>
      <c r="F53" s="108"/>
      <c r="G53" s="166">
        <v>180</v>
      </c>
      <c r="H53" s="166">
        <v>520</v>
      </c>
      <c r="I53" s="166">
        <v>660</v>
      </c>
      <c r="J53" s="166">
        <v>630</v>
      </c>
      <c r="K53" s="166">
        <v>340</v>
      </c>
      <c r="L53" s="201"/>
      <c r="M53" s="202"/>
      <c r="N53" s="197">
        <f t="shared" si="10"/>
        <v>2330</v>
      </c>
      <c r="O53" s="198"/>
      <c r="P53" s="185"/>
      <c r="Q53" s="190"/>
      <c r="R53" s="192"/>
      <c r="S53" s="188"/>
    </row>
    <row r="54" spans="1:27" ht="48" customHeight="1" x14ac:dyDescent="0.15">
      <c r="A54" s="305"/>
      <c r="B54" s="104" t="s">
        <v>198</v>
      </c>
      <c r="C54" s="105" t="s">
        <v>193</v>
      </c>
      <c r="D54" s="106" t="s">
        <v>195</v>
      </c>
      <c r="E54" s="107" t="s">
        <v>39</v>
      </c>
      <c r="F54" s="108"/>
      <c r="G54" s="166">
        <v>10</v>
      </c>
      <c r="H54" s="166">
        <v>130</v>
      </c>
      <c r="I54" s="166">
        <v>280</v>
      </c>
      <c r="J54" s="166">
        <v>170</v>
      </c>
      <c r="K54" s="166">
        <v>100</v>
      </c>
      <c r="L54" s="201"/>
      <c r="M54" s="202"/>
      <c r="N54" s="197">
        <f t="shared" si="10"/>
        <v>690</v>
      </c>
      <c r="O54" s="198"/>
      <c r="P54" s="5"/>
      <c r="Q54" s="1"/>
      <c r="R54" s="69"/>
      <c r="S54" s="3"/>
    </row>
    <row r="55" spans="1:27" ht="48" customHeight="1" x14ac:dyDescent="0.15">
      <c r="A55" s="305"/>
      <c r="B55" s="104" t="s">
        <v>37</v>
      </c>
      <c r="C55" s="105" t="s">
        <v>38</v>
      </c>
      <c r="D55" s="106" t="s">
        <v>200</v>
      </c>
      <c r="E55" s="107" t="s">
        <v>39</v>
      </c>
      <c r="F55" s="108"/>
      <c r="G55" s="166">
        <v>20</v>
      </c>
      <c r="H55" s="166">
        <v>280</v>
      </c>
      <c r="I55" s="166">
        <v>550</v>
      </c>
      <c r="J55" s="166">
        <v>520</v>
      </c>
      <c r="K55" s="166">
        <v>290</v>
      </c>
      <c r="L55" s="201"/>
      <c r="M55" s="202"/>
      <c r="N55" s="197">
        <f t="shared" si="10"/>
        <v>1660</v>
      </c>
      <c r="O55" s="198"/>
      <c r="P55" s="5"/>
      <c r="Q55" s="1"/>
      <c r="R55" s="69"/>
      <c r="S55" s="3"/>
    </row>
    <row r="56" spans="1:27" ht="48" customHeight="1" x14ac:dyDescent="0.15">
      <c r="A56" s="305"/>
      <c r="B56" s="104" t="s">
        <v>199</v>
      </c>
      <c r="C56" s="105" t="s">
        <v>192</v>
      </c>
      <c r="D56" s="106" t="s">
        <v>194</v>
      </c>
      <c r="E56" s="107" t="s">
        <v>39</v>
      </c>
      <c r="F56" s="108"/>
      <c r="G56" s="166">
        <v>10</v>
      </c>
      <c r="H56" s="166">
        <v>270</v>
      </c>
      <c r="I56" s="166">
        <v>460</v>
      </c>
      <c r="J56" s="166">
        <v>370</v>
      </c>
      <c r="K56" s="166">
        <v>210</v>
      </c>
      <c r="L56" s="201"/>
      <c r="M56" s="202"/>
      <c r="N56" s="197">
        <f t="shared" si="10"/>
        <v>1320</v>
      </c>
      <c r="O56" s="198"/>
      <c r="P56" s="5"/>
      <c r="Q56" s="1"/>
      <c r="R56" s="69"/>
      <c r="S56" s="3"/>
    </row>
    <row r="57" spans="1:27" s="136" customFormat="1" ht="37.9" customHeight="1" x14ac:dyDescent="0.15">
      <c r="A57" s="301" t="s">
        <v>47</v>
      </c>
      <c r="B57" s="302"/>
      <c r="C57" s="302"/>
      <c r="D57" s="302"/>
      <c r="E57" s="303"/>
      <c r="F57" s="109">
        <f t="shared" ref="F57:K57" si="11">SUM(F49:F56)</f>
        <v>0</v>
      </c>
      <c r="G57" s="154">
        <f t="shared" si="11"/>
        <v>490</v>
      </c>
      <c r="H57" s="154">
        <f t="shared" si="11"/>
        <v>2530</v>
      </c>
      <c r="I57" s="154">
        <f t="shared" si="11"/>
        <v>3820</v>
      </c>
      <c r="J57" s="154">
        <f t="shared" si="11"/>
        <v>3380</v>
      </c>
      <c r="K57" s="154">
        <f t="shared" si="11"/>
        <v>1880</v>
      </c>
      <c r="L57" s="201"/>
      <c r="M57" s="202"/>
      <c r="N57" s="203">
        <f>SUM(N49:O56)</f>
        <v>12100</v>
      </c>
      <c r="O57" s="204"/>
      <c r="P57" s="73"/>
      <c r="Q57" s="74"/>
      <c r="R57" s="75"/>
      <c r="S57" s="76"/>
    </row>
    <row r="58" spans="1:27" ht="49.9" customHeight="1" thickBot="1" x14ac:dyDescent="0.2">
      <c r="A58" s="274" t="s">
        <v>48</v>
      </c>
      <c r="B58" s="275"/>
      <c r="C58" s="275"/>
      <c r="D58" s="275"/>
      <c r="E58" s="276"/>
      <c r="F58" s="167">
        <f>SUM(F13:F57)/2</f>
        <v>10</v>
      </c>
      <c r="G58" s="167">
        <f t="shared" ref="G58:J58" si="12">SUM(G13:G57)/2</f>
        <v>1143</v>
      </c>
      <c r="H58" s="167">
        <f t="shared" si="12"/>
        <v>9756</v>
      </c>
      <c r="I58" s="167">
        <f t="shared" si="12"/>
        <v>15476</v>
      </c>
      <c r="J58" s="167">
        <f t="shared" si="12"/>
        <v>16446</v>
      </c>
      <c r="K58" s="167">
        <f>SUM(K13:K57)/2</f>
        <v>5563</v>
      </c>
      <c r="L58" s="163"/>
      <c r="M58" s="164"/>
      <c r="N58" s="267">
        <f>SUM(N13:O57)/2</f>
        <v>48394</v>
      </c>
      <c r="O58" s="268"/>
      <c r="P58" s="269"/>
      <c r="Q58" s="270"/>
      <c r="R58" s="270"/>
      <c r="S58" s="271"/>
    </row>
    <row r="59" spans="1:27" ht="24" customHeight="1" thickBot="1" x14ac:dyDescent="0.2">
      <c r="A59" s="277" t="s">
        <v>178</v>
      </c>
      <c r="B59" s="278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  <c r="S59" s="279"/>
    </row>
    <row r="60" spans="1:27" s="137" customFormat="1" ht="48" customHeight="1" x14ac:dyDescent="0.15">
      <c r="A60" s="272" t="s">
        <v>49</v>
      </c>
      <c r="B60" s="289" t="s">
        <v>50</v>
      </c>
      <c r="C60" s="290"/>
      <c r="D60" s="291"/>
      <c r="E60" s="155" t="s">
        <v>26</v>
      </c>
      <c r="F60" s="156" t="s">
        <v>27</v>
      </c>
      <c r="G60" s="157" t="s">
        <v>28</v>
      </c>
      <c r="H60" s="157" t="s">
        <v>29</v>
      </c>
      <c r="I60" s="157" t="s">
        <v>30</v>
      </c>
      <c r="J60" s="158" t="s">
        <v>31</v>
      </c>
      <c r="K60" s="133" t="s">
        <v>127</v>
      </c>
      <c r="M60" s="138"/>
      <c r="N60" s="138"/>
      <c r="O60" s="138"/>
      <c r="P60" s="138"/>
      <c r="Q60" s="138"/>
      <c r="R60" s="138"/>
      <c r="S60" s="139"/>
    </row>
    <row r="61" spans="1:27" s="137" customFormat="1" ht="24.95" customHeight="1" x14ac:dyDescent="0.15">
      <c r="A61" s="273"/>
      <c r="B61" s="292"/>
      <c r="C61" s="293"/>
      <c r="D61" s="294"/>
      <c r="E61" s="280" t="s">
        <v>51</v>
      </c>
      <c r="F61" s="281"/>
      <c r="G61" s="281"/>
      <c r="H61" s="281"/>
      <c r="I61" s="281"/>
      <c r="J61" s="282"/>
      <c r="K61" s="134" t="s">
        <v>128</v>
      </c>
      <c r="M61" s="138"/>
      <c r="N61" s="138"/>
      <c r="O61" s="138"/>
      <c r="P61" s="138"/>
      <c r="Q61" s="138"/>
      <c r="R61" s="138"/>
      <c r="S61" s="139"/>
    </row>
    <row r="62" spans="1:27" s="44" customFormat="1" ht="37.15" customHeight="1" x14ac:dyDescent="0.15">
      <c r="A62" s="110" t="s">
        <v>52</v>
      </c>
      <c r="B62" s="286" t="s">
        <v>53</v>
      </c>
      <c r="C62" s="287" t="s">
        <v>53</v>
      </c>
      <c r="D62" s="288" t="s">
        <v>53</v>
      </c>
      <c r="E62" s="111">
        <v>24</v>
      </c>
      <c r="F62" s="112">
        <v>24</v>
      </c>
      <c r="G62" s="113">
        <v>25</v>
      </c>
      <c r="H62" s="113">
        <v>25</v>
      </c>
      <c r="I62" s="113">
        <v>25</v>
      </c>
      <c r="J62" s="114">
        <v>25</v>
      </c>
      <c r="K62" s="115">
        <v>0</v>
      </c>
      <c r="M62" s="138"/>
      <c r="N62" s="138"/>
      <c r="O62" s="138"/>
      <c r="P62" s="138"/>
      <c r="Q62" s="138"/>
      <c r="R62" s="138"/>
      <c r="S62" s="139"/>
      <c r="V62" s="138"/>
      <c r="W62" s="138"/>
      <c r="X62" s="138"/>
      <c r="Y62" s="138"/>
      <c r="Z62" s="138"/>
      <c r="AA62" s="138"/>
    </row>
    <row r="63" spans="1:27" s="44" customFormat="1" ht="37.15" customHeight="1" x14ac:dyDescent="0.15">
      <c r="A63" s="116" t="s">
        <v>54</v>
      </c>
      <c r="B63" s="194" t="s">
        <v>55</v>
      </c>
      <c r="C63" s="195" t="s">
        <v>55</v>
      </c>
      <c r="D63" s="196" t="s">
        <v>55</v>
      </c>
      <c r="E63" s="117" t="s">
        <v>56</v>
      </c>
      <c r="F63" s="180">
        <v>28</v>
      </c>
      <c r="G63" s="119" t="s">
        <v>57</v>
      </c>
      <c r="H63" s="119" t="s">
        <v>166</v>
      </c>
      <c r="I63" s="119">
        <v>30</v>
      </c>
      <c r="J63" s="120" t="s">
        <v>58</v>
      </c>
      <c r="K63" s="121" t="s">
        <v>61</v>
      </c>
      <c r="M63" s="138"/>
      <c r="N63" s="138"/>
      <c r="O63" s="138"/>
      <c r="P63" s="138"/>
      <c r="Q63" s="138"/>
      <c r="R63" s="138"/>
      <c r="S63" s="139"/>
      <c r="V63" s="138"/>
      <c r="W63" s="138"/>
      <c r="X63" s="138"/>
      <c r="Y63" s="138"/>
      <c r="Z63" s="138"/>
      <c r="AA63" s="138"/>
    </row>
    <row r="64" spans="1:27" s="44" customFormat="1" ht="37.15" customHeight="1" x14ac:dyDescent="0.15">
      <c r="A64" s="116" t="s">
        <v>59</v>
      </c>
      <c r="B64" s="194" t="s">
        <v>60</v>
      </c>
      <c r="C64" s="195" t="s">
        <v>60</v>
      </c>
      <c r="D64" s="196" t="s">
        <v>60</v>
      </c>
      <c r="E64" s="117"/>
      <c r="F64" s="118"/>
      <c r="G64" s="119" t="s">
        <v>61</v>
      </c>
      <c r="H64" s="119"/>
      <c r="I64" s="119"/>
      <c r="J64" s="120"/>
      <c r="K64" s="121" t="s">
        <v>129</v>
      </c>
      <c r="M64" s="138"/>
      <c r="N64" s="138"/>
      <c r="O64" s="138"/>
      <c r="P64" s="138"/>
      <c r="Q64" s="138"/>
      <c r="R64" s="138"/>
      <c r="S64" s="139"/>
      <c r="V64" s="138"/>
      <c r="W64" s="138"/>
      <c r="X64" s="138"/>
      <c r="Y64" s="138"/>
      <c r="Z64" s="138"/>
      <c r="AA64" s="138"/>
    </row>
    <row r="65" spans="1:27" s="44" customFormat="1" ht="37.15" customHeight="1" x14ac:dyDescent="0.15">
      <c r="A65" s="116" t="s">
        <v>62</v>
      </c>
      <c r="B65" s="194" t="s">
        <v>63</v>
      </c>
      <c r="C65" s="195" t="s">
        <v>63</v>
      </c>
      <c r="D65" s="196" t="s">
        <v>63</v>
      </c>
      <c r="E65" s="117" t="s">
        <v>64</v>
      </c>
      <c r="F65" s="118" t="s">
        <v>65</v>
      </c>
      <c r="G65" s="119">
        <v>7</v>
      </c>
      <c r="H65" s="119" t="s">
        <v>66</v>
      </c>
      <c r="I65" s="119" t="s">
        <v>67</v>
      </c>
      <c r="J65" s="120" t="s">
        <v>68</v>
      </c>
      <c r="K65" s="121" t="s">
        <v>130</v>
      </c>
      <c r="M65" s="138"/>
      <c r="N65" s="138"/>
      <c r="O65" s="138"/>
      <c r="P65" s="138"/>
      <c r="Q65" s="138"/>
      <c r="R65" s="138"/>
      <c r="S65" s="139"/>
      <c r="V65" s="138"/>
      <c r="W65" s="138"/>
      <c r="X65" s="138"/>
      <c r="Y65" s="138"/>
      <c r="Z65" s="138"/>
      <c r="AA65" s="138"/>
    </row>
    <row r="66" spans="1:27" s="44" customFormat="1" ht="37.15" customHeight="1" x14ac:dyDescent="0.15">
      <c r="A66" s="116" t="s">
        <v>69</v>
      </c>
      <c r="B66" s="194" t="s">
        <v>70</v>
      </c>
      <c r="C66" s="195" t="s">
        <v>70</v>
      </c>
      <c r="D66" s="196" t="s">
        <v>70</v>
      </c>
      <c r="E66" s="117" t="s">
        <v>71</v>
      </c>
      <c r="F66" s="118" t="s">
        <v>72</v>
      </c>
      <c r="G66" s="119" t="s">
        <v>73</v>
      </c>
      <c r="H66" s="119" t="s">
        <v>74</v>
      </c>
      <c r="I66" s="119" t="s">
        <v>75</v>
      </c>
      <c r="J66" s="120">
        <v>5</v>
      </c>
      <c r="K66" s="121" t="s">
        <v>129</v>
      </c>
      <c r="M66" s="138"/>
      <c r="N66" s="138"/>
      <c r="O66" s="138"/>
      <c r="P66" s="138"/>
      <c r="Q66" s="138"/>
      <c r="R66" s="138"/>
      <c r="S66" s="139"/>
      <c r="V66" s="138"/>
      <c r="W66" s="138"/>
      <c r="X66" s="138"/>
      <c r="Y66" s="138"/>
      <c r="Z66" s="138"/>
      <c r="AA66" s="138"/>
    </row>
    <row r="67" spans="1:27" s="44" customFormat="1" ht="37.15" customHeight="1" x14ac:dyDescent="0.15">
      <c r="A67" s="116" t="s">
        <v>76</v>
      </c>
      <c r="B67" s="194" t="s">
        <v>77</v>
      </c>
      <c r="C67" s="195" t="s">
        <v>77</v>
      </c>
      <c r="D67" s="196" t="s">
        <v>77</v>
      </c>
      <c r="E67" s="117" t="s">
        <v>78</v>
      </c>
      <c r="F67" s="118" t="s">
        <v>79</v>
      </c>
      <c r="G67" s="119" t="s">
        <v>79</v>
      </c>
      <c r="H67" s="119" t="s">
        <v>79</v>
      </c>
      <c r="I67" s="119">
        <v>1</v>
      </c>
      <c r="J67" s="120">
        <v>1</v>
      </c>
      <c r="K67" s="121" t="s">
        <v>129</v>
      </c>
      <c r="M67" s="138"/>
      <c r="N67" s="138"/>
      <c r="O67" s="138"/>
      <c r="P67" s="138"/>
      <c r="Q67" s="138"/>
      <c r="R67" s="138"/>
      <c r="S67" s="139"/>
      <c r="V67" s="138"/>
      <c r="W67" s="138"/>
      <c r="X67" s="138"/>
      <c r="Y67" s="138"/>
      <c r="Z67" s="138"/>
      <c r="AA67" s="138"/>
    </row>
    <row r="68" spans="1:27" s="44" customFormat="1" ht="37.15" customHeight="1" x14ac:dyDescent="0.15">
      <c r="A68" s="116" t="s">
        <v>80</v>
      </c>
      <c r="B68" s="194" t="s">
        <v>81</v>
      </c>
      <c r="C68" s="195" t="s">
        <v>81</v>
      </c>
      <c r="D68" s="196" t="s">
        <v>81</v>
      </c>
      <c r="E68" s="117" t="s">
        <v>82</v>
      </c>
      <c r="F68" s="118" t="s">
        <v>82</v>
      </c>
      <c r="G68" s="119" t="s">
        <v>82</v>
      </c>
      <c r="H68" s="119" t="s">
        <v>82</v>
      </c>
      <c r="I68" s="119" t="s">
        <v>82</v>
      </c>
      <c r="J68" s="120" t="s">
        <v>82</v>
      </c>
      <c r="K68" s="121" t="s">
        <v>129</v>
      </c>
      <c r="M68" s="138"/>
      <c r="N68" s="138"/>
      <c r="O68" s="138"/>
      <c r="P68" s="138"/>
      <c r="Q68" s="138"/>
      <c r="R68" s="138"/>
      <c r="S68" s="139"/>
      <c r="V68" s="138"/>
      <c r="W68" s="138"/>
      <c r="X68" s="138"/>
      <c r="Y68" s="138"/>
      <c r="Z68" s="138"/>
      <c r="AA68" s="138"/>
    </row>
    <row r="69" spans="1:27" s="44" customFormat="1" ht="37.15" customHeight="1" x14ac:dyDescent="0.15">
      <c r="A69" s="116" t="s">
        <v>83</v>
      </c>
      <c r="B69" s="194" t="s">
        <v>84</v>
      </c>
      <c r="C69" s="195" t="s">
        <v>84</v>
      </c>
      <c r="D69" s="196" t="s">
        <v>84</v>
      </c>
      <c r="E69" s="117" t="s">
        <v>146</v>
      </c>
      <c r="F69" s="118" t="s">
        <v>167</v>
      </c>
      <c r="G69" s="119" t="s">
        <v>86</v>
      </c>
      <c r="H69" s="119" t="s">
        <v>87</v>
      </c>
      <c r="I69" s="119" t="s">
        <v>168</v>
      </c>
      <c r="J69" s="120" t="s">
        <v>100</v>
      </c>
      <c r="K69" s="121" t="s">
        <v>131</v>
      </c>
      <c r="M69" s="138"/>
      <c r="N69" s="138"/>
      <c r="O69" s="138"/>
      <c r="P69" s="138"/>
      <c r="Q69" s="138"/>
      <c r="R69" s="138"/>
      <c r="S69" s="139"/>
      <c r="V69" s="138"/>
      <c r="W69" s="138"/>
      <c r="X69" s="138"/>
      <c r="Y69" s="138"/>
      <c r="Z69" s="138"/>
      <c r="AA69" s="138"/>
    </row>
    <row r="70" spans="1:27" s="44" customFormat="1" ht="37.15" customHeight="1" x14ac:dyDescent="0.15">
      <c r="A70" s="116" t="s">
        <v>88</v>
      </c>
      <c r="B70" s="194" t="s">
        <v>89</v>
      </c>
      <c r="C70" s="195" t="s">
        <v>89</v>
      </c>
      <c r="D70" s="196" t="s">
        <v>89</v>
      </c>
      <c r="E70" s="117">
        <v>7</v>
      </c>
      <c r="F70" s="118" t="s">
        <v>66</v>
      </c>
      <c r="G70" s="119" t="s">
        <v>67</v>
      </c>
      <c r="H70" s="119" t="s">
        <v>68</v>
      </c>
      <c r="I70" s="119">
        <v>8</v>
      </c>
      <c r="J70" s="120" t="s">
        <v>90</v>
      </c>
      <c r="K70" s="121">
        <v>0</v>
      </c>
      <c r="M70" s="138"/>
      <c r="N70" s="138"/>
      <c r="O70" s="138"/>
      <c r="P70" s="138"/>
      <c r="Q70" s="138"/>
      <c r="R70" s="138"/>
      <c r="S70" s="139"/>
      <c r="V70" s="138"/>
      <c r="W70" s="138"/>
      <c r="X70" s="138"/>
      <c r="Y70" s="138"/>
      <c r="Z70" s="138"/>
      <c r="AA70" s="138"/>
    </row>
    <row r="71" spans="1:27" s="44" customFormat="1" ht="37.15" customHeight="1" x14ac:dyDescent="0.15">
      <c r="A71" s="116" t="s">
        <v>91</v>
      </c>
      <c r="B71" s="194" t="s">
        <v>92</v>
      </c>
      <c r="C71" s="195" t="s">
        <v>92</v>
      </c>
      <c r="D71" s="196" t="s">
        <v>92</v>
      </c>
      <c r="E71" s="117">
        <v>14</v>
      </c>
      <c r="F71" s="118" t="s">
        <v>169</v>
      </c>
      <c r="G71" s="119" t="s">
        <v>93</v>
      </c>
      <c r="H71" s="119" t="s">
        <v>146</v>
      </c>
      <c r="I71" s="119" t="s">
        <v>147</v>
      </c>
      <c r="J71" s="120" t="s">
        <v>170</v>
      </c>
      <c r="K71" s="121" t="s">
        <v>131</v>
      </c>
      <c r="M71" s="138"/>
      <c r="N71" s="138"/>
      <c r="O71" s="138"/>
      <c r="P71" s="138"/>
      <c r="Q71" s="138"/>
      <c r="R71" s="138"/>
      <c r="S71" s="139"/>
      <c r="V71" s="138"/>
      <c r="W71" s="138"/>
      <c r="X71" s="138"/>
      <c r="Y71" s="138"/>
      <c r="Z71" s="138"/>
      <c r="AA71" s="138"/>
    </row>
    <row r="72" spans="1:27" s="44" customFormat="1" ht="37.15" customHeight="1" x14ac:dyDescent="0.15">
      <c r="A72" s="116" t="s">
        <v>94</v>
      </c>
      <c r="B72" s="194" t="s">
        <v>95</v>
      </c>
      <c r="C72" s="195" t="s">
        <v>95</v>
      </c>
      <c r="D72" s="196" t="s">
        <v>95</v>
      </c>
      <c r="E72" s="117">
        <v>15</v>
      </c>
      <c r="F72" s="118" t="s">
        <v>171</v>
      </c>
      <c r="G72" s="119" t="s">
        <v>85</v>
      </c>
      <c r="H72" s="119" t="s">
        <v>147</v>
      </c>
      <c r="I72" s="119" t="s">
        <v>170</v>
      </c>
      <c r="J72" s="120" t="s">
        <v>145</v>
      </c>
      <c r="K72" s="121" t="s">
        <v>131</v>
      </c>
      <c r="M72" s="138"/>
      <c r="N72" s="138"/>
      <c r="O72" s="138"/>
      <c r="P72" s="138"/>
      <c r="Q72" s="138"/>
      <c r="R72" s="138"/>
      <c r="S72" s="139"/>
      <c r="V72" s="138"/>
      <c r="W72" s="138"/>
      <c r="X72" s="138"/>
      <c r="Y72" s="138"/>
      <c r="Z72" s="138"/>
      <c r="AA72" s="138"/>
    </row>
    <row r="73" spans="1:27" s="44" customFormat="1" ht="37.15" customHeight="1" x14ac:dyDescent="0.15">
      <c r="A73" s="116" t="s">
        <v>97</v>
      </c>
      <c r="B73" s="194" t="s">
        <v>98</v>
      </c>
      <c r="C73" s="195" t="s">
        <v>98</v>
      </c>
      <c r="D73" s="196" t="s">
        <v>98</v>
      </c>
      <c r="E73" s="117" t="s">
        <v>144</v>
      </c>
      <c r="F73" s="118" t="s">
        <v>99</v>
      </c>
      <c r="G73" s="119" t="s">
        <v>100</v>
      </c>
      <c r="H73" s="119">
        <v>22</v>
      </c>
      <c r="I73" s="119">
        <v>24</v>
      </c>
      <c r="J73" s="120">
        <v>26</v>
      </c>
      <c r="K73" s="121" t="s">
        <v>61</v>
      </c>
      <c r="M73" s="138"/>
      <c r="N73" s="138"/>
      <c r="O73" s="138"/>
      <c r="P73" s="138"/>
      <c r="Q73" s="138"/>
      <c r="R73" s="138"/>
      <c r="S73" s="139"/>
      <c r="V73" s="138"/>
      <c r="W73" s="138"/>
      <c r="X73" s="138"/>
      <c r="Y73" s="138"/>
      <c r="Z73" s="138"/>
      <c r="AA73" s="138"/>
    </row>
    <row r="74" spans="1:27" s="44" customFormat="1" ht="37.15" customHeight="1" x14ac:dyDescent="0.15">
      <c r="A74" s="116" t="s">
        <v>101</v>
      </c>
      <c r="B74" s="194" t="s">
        <v>102</v>
      </c>
      <c r="C74" s="195" t="s">
        <v>102</v>
      </c>
      <c r="D74" s="196" t="s">
        <v>102</v>
      </c>
      <c r="E74" s="117" t="s">
        <v>144</v>
      </c>
      <c r="F74" s="118" t="s">
        <v>99</v>
      </c>
      <c r="G74" s="119" t="s">
        <v>100</v>
      </c>
      <c r="H74" s="119">
        <v>22</v>
      </c>
      <c r="I74" s="119">
        <v>24</v>
      </c>
      <c r="J74" s="120">
        <v>26</v>
      </c>
      <c r="K74" s="121" t="s">
        <v>61</v>
      </c>
      <c r="M74" s="138"/>
      <c r="N74" s="138"/>
      <c r="O74" s="138"/>
      <c r="P74" s="138"/>
      <c r="Q74" s="138"/>
      <c r="R74" s="138"/>
      <c r="S74" s="139"/>
      <c r="V74" s="138"/>
      <c r="W74" s="138"/>
      <c r="X74" s="138"/>
      <c r="Y74" s="138"/>
      <c r="Z74" s="138"/>
      <c r="AA74" s="138"/>
    </row>
    <row r="75" spans="1:27" s="44" customFormat="1" ht="37.15" customHeight="1" x14ac:dyDescent="0.15">
      <c r="A75" s="116" t="s">
        <v>103</v>
      </c>
      <c r="B75" s="194" t="s">
        <v>104</v>
      </c>
      <c r="C75" s="195" t="s">
        <v>104</v>
      </c>
      <c r="D75" s="196" t="s">
        <v>104</v>
      </c>
      <c r="E75" s="117" t="s">
        <v>78</v>
      </c>
      <c r="F75" s="118" t="s">
        <v>78</v>
      </c>
      <c r="G75" s="119" t="s">
        <v>78</v>
      </c>
      <c r="H75" s="119" t="s">
        <v>78</v>
      </c>
      <c r="I75" s="119" t="s">
        <v>78</v>
      </c>
      <c r="J75" s="120" t="s">
        <v>78</v>
      </c>
      <c r="K75" s="121" t="s">
        <v>129</v>
      </c>
      <c r="M75" s="138"/>
      <c r="N75" s="138"/>
      <c r="O75" s="138"/>
      <c r="P75" s="138"/>
      <c r="Q75" s="138"/>
      <c r="R75" s="138"/>
      <c r="S75" s="139"/>
      <c r="V75" s="138"/>
      <c r="W75" s="138"/>
      <c r="X75" s="138"/>
      <c r="Y75" s="138"/>
      <c r="Z75" s="138"/>
      <c r="AA75" s="138"/>
    </row>
    <row r="76" spans="1:27" s="44" customFormat="1" ht="37.15" customHeight="1" x14ac:dyDescent="0.15">
      <c r="A76" s="116" t="s">
        <v>105</v>
      </c>
      <c r="B76" s="194" t="s">
        <v>106</v>
      </c>
      <c r="C76" s="195" t="s">
        <v>106</v>
      </c>
      <c r="D76" s="196" t="s">
        <v>106</v>
      </c>
      <c r="E76" s="117" t="s">
        <v>107</v>
      </c>
      <c r="F76" s="118" t="s">
        <v>108</v>
      </c>
      <c r="G76" s="119" t="s">
        <v>109</v>
      </c>
      <c r="H76" s="119">
        <v>11</v>
      </c>
      <c r="I76" s="119" t="s">
        <v>110</v>
      </c>
      <c r="J76" s="120" t="s">
        <v>172</v>
      </c>
      <c r="K76" s="121" t="s">
        <v>130</v>
      </c>
      <c r="M76" s="138"/>
      <c r="N76" s="138"/>
      <c r="O76" s="138"/>
      <c r="P76" s="138"/>
      <c r="Q76" s="138"/>
      <c r="R76" s="138"/>
      <c r="S76" s="139"/>
      <c r="V76" s="138"/>
      <c r="W76" s="138"/>
      <c r="X76" s="138"/>
      <c r="Y76" s="138"/>
      <c r="Z76" s="138"/>
      <c r="AA76" s="138"/>
    </row>
    <row r="77" spans="1:27" s="44" customFormat="1" ht="37.15" customHeight="1" x14ac:dyDescent="0.15">
      <c r="A77" s="116" t="s">
        <v>141</v>
      </c>
      <c r="B77" s="194" t="s">
        <v>140</v>
      </c>
      <c r="C77" s="195" t="s">
        <v>140</v>
      </c>
      <c r="D77" s="196" t="s">
        <v>140</v>
      </c>
      <c r="E77" s="117" t="s">
        <v>85</v>
      </c>
      <c r="F77" s="118" t="s">
        <v>143</v>
      </c>
      <c r="G77" s="119" t="s">
        <v>144</v>
      </c>
      <c r="H77" s="119" t="s">
        <v>96</v>
      </c>
      <c r="I77" s="119" t="s">
        <v>173</v>
      </c>
      <c r="J77" s="120" t="s">
        <v>174</v>
      </c>
      <c r="K77" s="121" t="s">
        <v>130</v>
      </c>
      <c r="M77" s="138"/>
      <c r="N77" s="138"/>
      <c r="O77" s="138"/>
      <c r="P77" s="138"/>
      <c r="Q77" s="138"/>
      <c r="R77" s="138"/>
      <c r="S77" s="139"/>
    </row>
    <row r="78" spans="1:27" s="44" customFormat="1" ht="37.15" customHeight="1" x14ac:dyDescent="0.15">
      <c r="A78" s="116" t="s">
        <v>111</v>
      </c>
      <c r="B78" s="194" t="s">
        <v>112</v>
      </c>
      <c r="C78" s="195" t="s">
        <v>112</v>
      </c>
      <c r="D78" s="196" t="s">
        <v>112</v>
      </c>
      <c r="E78" s="117" t="s">
        <v>175</v>
      </c>
      <c r="F78" s="118" t="s">
        <v>142</v>
      </c>
      <c r="G78" s="119">
        <v>7</v>
      </c>
      <c r="H78" s="119" t="s">
        <v>148</v>
      </c>
      <c r="I78" s="119" t="s">
        <v>176</v>
      </c>
      <c r="J78" s="120" t="s">
        <v>177</v>
      </c>
      <c r="K78" s="121" t="s">
        <v>130</v>
      </c>
      <c r="M78" s="138"/>
      <c r="N78" s="138"/>
      <c r="O78" s="138"/>
      <c r="P78" s="138"/>
      <c r="Q78" s="138"/>
      <c r="R78" s="138"/>
      <c r="S78" s="139"/>
    </row>
    <row r="79" spans="1:27" s="44" customFormat="1" ht="37.15" customHeight="1" x14ac:dyDescent="0.15">
      <c r="A79" s="122" t="s">
        <v>113</v>
      </c>
      <c r="B79" s="194" t="s">
        <v>114</v>
      </c>
      <c r="C79" s="195" t="s">
        <v>114</v>
      </c>
      <c r="D79" s="196" t="s">
        <v>114</v>
      </c>
      <c r="E79" s="123" t="s">
        <v>78</v>
      </c>
      <c r="F79" s="124" t="s">
        <v>78</v>
      </c>
      <c r="G79" s="125" t="s">
        <v>78</v>
      </c>
      <c r="H79" s="125" t="s">
        <v>78</v>
      </c>
      <c r="I79" s="125" t="s">
        <v>78</v>
      </c>
      <c r="J79" s="126" t="s">
        <v>78</v>
      </c>
      <c r="K79" s="121" t="s">
        <v>129</v>
      </c>
      <c r="M79" s="138"/>
      <c r="N79" s="138"/>
      <c r="O79" s="138"/>
      <c r="P79" s="138"/>
      <c r="Q79" s="138"/>
      <c r="R79" s="138"/>
      <c r="S79" s="139"/>
    </row>
    <row r="80" spans="1:27" s="44" customFormat="1" ht="37.15" customHeight="1" x14ac:dyDescent="0.15">
      <c r="A80" s="116" t="s">
        <v>115</v>
      </c>
      <c r="B80" s="194" t="s">
        <v>116</v>
      </c>
      <c r="C80" s="195" t="s">
        <v>116</v>
      </c>
      <c r="D80" s="196" t="s">
        <v>116</v>
      </c>
      <c r="E80" s="117"/>
      <c r="F80" s="118"/>
      <c r="G80" s="119">
        <v>2</v>
      </c>
      <c r="H80" s="119"/>
      <c r="I80" s="119"/>
      <c r="J80" s="120"/>
      <c r="K80" s="121"/>
      <c r="M80" s="138"/>
      <c r="N80" s="138"/>
      <c r="O80" s="138"/>
      <c r="P80" s="138"/>
      <c r="Q80" s="138"/>
      <c r="R80" s="138"/>
      <c r="S80" s="139"/>
    </row>
    <row r="81" spans="1:33" s="44" customFormat="1" ht="37.15" customHeight="1" x14ac:dyDescent="0.15">
      <c r="A81" s="116" t="s">
        <v>117</v>
      </c>
      <c r="B81" s="194" t="s">
        <v>118</v>
      </c>
      <c r="C81" s="195" t="s">
        <v>118</v>
      </c>
      <c r="D81" s="196" t="s">
        <v>118</v>
      </c>
      <c r="E81" s="117"/>
      <c r="F81" s="118"/>
      <c r="G81" s="119" t="s">
        <v>119</v>
      </c>
      <c r="H81" s="119"/>
      <c r="I81" s="119"/>
      <c r="J81" s="120"/>
      <c r="K81" s="121"/>
      <c r="M81" s="138"/>
      <c r="N81" s="138"/>
      <c r="O81" s="138"/>
      <c r="P81" s="138"/>
      <c r="Q81" s="138"/>
      <c r="R81" s="138"/>
      <c r="S81" s="139"/>
    </row>
    <row r="82" spans="1:33" s="44" customFormat="1" ht="37.15" customHeight="1" thickBot="1" x14ac:dyDescent="0.2">
      <c r="A82" s="127" t="s">
        <v>120</v>
      </c>
      <c r="B82" s="224" t="s">
        <v>121</v>
      </c>
      <c r="C82" s="225" t="s">
        <v>121</v>
      </c>
      <c r="D82" s="226" t="s">
        <v>121</v>
      </c>
      <c r="E82" s="128"/>
      <c r="F82" s="129"/>
      <c r="G82" s="130" t="s">
        <v>73</v>
      </c>
      <c r="H82" s="130"/>
      <c r="I82" s="130"/>
      <c r="J82" s="131"/>
      <c r="K82" s="132"/>
      <c r="L82" s="140"/>
      <c r="M82" s="141"/>
      <c r="N82" s="141"/>
      <c r="O82" s="141"/>
      <c r="P82" s="141"/>
      <c r="Q82" s="141"/>
      <c r="R82" s="141"/>
      <c r="S82" s="142"/>
    </row>
    <row r="83" spans="1:33" ht="16.5" thickBot="1" x14ac:dyDescent="0.2">
      <c r="A83" s="222" t="s">
        <v>122</v>
      </c>
      <c r="B83" s="223"/>
      <c r="C83" s="32"/>
      <c r="D83" s="32"/>
      <c r="E83" s="32"/>
      <c r="F83" s="32"/>
      <c r="G83" s="33"/>
      <c r="H83" s="33"/>
      <c r="I83" s="33"/>
      <c r="J83" s="33"/>
      <c r="K83" s="81"/>
      <c r="L83" s="81"/>
      <c r="M83" s="81"/>
      <c r="N83" s="81"/>
      <c r="O83" s="81"/>
      <c r="P83" s="81"/>
      <c r="Q83" s="81"/>
      <c r="R83" s="81"/>
      <c r="S83" s="82"/>
    </row>
    <row r="84" spans="1:33" ht="34.9" customHeight="1" x14ac:dyDescent="0.15">
      <c r="A84" s="219" t="s">
        <v>123</v>
      </c>
      <c r="B84" s="220"/>
      <c r="C84" s="220"/>
      <c r="D84" s="220"/>
      <c r="E84" s="220"/>
      <c r="F84" s="220"/>
      <c r="G84" s="220"/>
      <c r="H84" s="220"/>
      <c r="I84" s="221"/>
      <c r="J84" s="34"/>
      <c r="K84" s="34"/>
      <c r="L84" s="227"/>
      <c r="M84" s="227"/>
      <c r="N84" s="227"/>
      <c r="O84" s="227"/>
      <c r="P84" s="227"/>
      <c r="Q84" s="227"/>
      <c r="R84" s="227"/>
      <c r="S84" s="228"/>
    </row>
    <row r="85" spans="1:33" ht="154.9" customHeight="1" x14ac:dyDescent="0.15">
      <c r="A85" s="207" t="s">
        <v>151</v>
      </c>
      <c r="B85" s="208"/>
      <c r="C85" s="208"/>
      <c r="D85" s="208"/>
      <c r="E85" s="208"/>
      <c r="F85" s="208"/>
      <c r="G85" s="208"/>
      <c r="H85" s="208"/>
      <c r="I85" s="209"/>
      <c r="J85" s="35"/>
      <c r="K85" s="35"/>
      <c r="L85" s="229"/>
      <c r="M85" s="229"/>
      <c r="N85" s="229"/>
      <c r="O85" s="229"/>
      <c r="P85" s="229"/>
      <c r="Q85" s="229"/>
      <c r="R85" s="229"/>
      <c r="S85" s="230"/>
    </row>
    <row r="86" spans="1:33" ht="87" customHeight="1" x14ac:dyDescent="0.15">
      <c r="A86" s="210" t="s">
        <v>126</v>
      </c>
      <c r="B86" s="211"/>
      <c r="C86" s="211"/>
      <c r="D86" s="211"/>
      <c r="E86" s="211"/>
      <c r="F86" s="211"/>
      <c r="G86" s="211"/>
      <c r="H86" s="211"/>
      <c r="I86" s="212"/>
      <c r="J86" s="35"/>
      <c r="K86" s="35"/>
      <c r="L86" s="229"/>
      <c r="M86" s="229"/>
      <c r="N86" s="229"/>
      <c r="O86" s="229"/>
      <c r="P86" s="229"/>
      <c r="Q86" s="229"/>
      <c r="R86" s="229"/>
      <c r="S86" s="230"/>
    </row>
    <row r="87" spans="1:33" ht="91.9" customHeight="1" x14ac:dyDescent="0.15">
      <c r="A87" s="213" t="s">
        <v>183</v>
      </c>
      <c r="B87" s="214"/>
      <c r="C87" s="214"/>
      <c r="D87" s="214"/>
      <c r="E87" s="214"/>
      <c r="F87" s="214"/>
      <c r="G87" s="214"/>
      <c r="H87" s="214"/>
      <c r="I87" s="215"/>
      <c r="J87" s="35"/>
      <c r="K87" s="35"/>
      <c r="L87" s="36"/>
      <c r="M87" s="37"/>
      <c r="N87" s="38"/>
      <c r="O87" s="38"/>
      <c r="P87" s="37"/>
      <c r="Q87" s="37"/>
      <c r="R87" s="37"/>
      <c r="S87" s="39"/>
    </row>
    <row r="88" spans="1:33" ht="105" customHeight="1" thickBot="1" x14ac:dyDescent="0.2">
      <c r="A88" s="216" t="s">
        <v>152</v>
      </c>
      <c r="B88" s="217"/>
      <c r="C88" s="217"/>
      <c r="D88" s="217"/>
      <c r="E88" s="217"/>
      <c r="F88" s="217"/>
      <c r="G88" s="217"/>
      <c r="H88" s="217"/>
      <c r="I88" s="218"/>
      <c r="J88" s="35"/>
      <c r="K88" s="35"/>
      <c r="L88" s="36"/>
      <c r="M88" s="37"/>
      <c r="N88" s="38"/>
      <c r="O88" s="38"/>
      <c r="P88" s="37"/>
      <c r="Q88" s="37"/>
      <c r="R88" s="37"/>
      <c r="S88" s="39"/>
    </row>
    <row r="89" spans="1:33" ht="47.25" customHeight="1" x14ac:dyDescent="0.15">
      <c r="A89" s="237" t="s">
        <v>184</v>
      </c>
      <c r="B89" s="238"/>
      <c r="C89" s="239"/>
      <c r="D89" s="231" t="s">
        <v>186</v>
      </c>
      <c r="E89" s="232"/>
      <c r="F89" s="233"/>
      <c r="G89" s="238" t="s">
        <v>187</v>
      </c>
      <c r="H89" s="238"/>
      <c r="I89" s="239"/>
      <c r="J89" s="35"/>
      <c r="K89" s="35"/>
      <c r="L89" s="40"/>
      <c r="M89" s="41"/>
      <c r="N89" s="42"/>
      <c r="O89" s="42"/>
      <c r="P89" s="42"/>
      <c r="Q89" s="42"/>
      <c r="R89" s="42"/>
      <c r="S89" s="43"/>
    </row>
    <row r="90" spans="1:33" ht="22.5" customHeight="1" thickBot="1" x14ac:dyDescent="0.2">
      <c r="A90" s="240"/>
      <c r="B90" s="241"/>
      <c r="C90" s="242"/>
      <c r="D90" s="234"/>
      <c r="E90" s="235"/>
      <c r="F90" s="236"/>
      <c r="G90" s="241"/>
      <c r="H90" s="241"/>
      <c r="I90" s="242"/>
      <c r="J90" s="35"/>
      <c r="K90" s="35"/>
      <c r="L90" s="44"/>
      <c r="M90" s="35"/>
      <c r="N90" s="42"/>
      <c r="O90" s="42"/>
      <c r="P90" s="42"/>
      <c r="Q90" s="42"/>
      <c r="R90" s="42"/>
      <c r="S90" s="43"/>
    </row>
    <row r="91" spans="1:33" ht="30" customHeight="1" x14ac:dyDescent="0.15">
      <c r="A91" s="205" t="s">
        <v>185</v>
      </c>
      <c r="B91" s="206"/>
      <c r="C91" s="206"/>
      <c r="D91" s="173"/>
      <c r="E91" s="173"/>
      <c r="F91" s="173"/>
      <c r="G91" s="174"/>
      <c r="H91" s="174"/>
      <c r="I91" s="175"/>
      <c r="J91" s="45"/>
      <c r="K91" s="46"/>
      <c r="L91" s="46"/>
      <c r="M91" s="46"/>
      <c r="N91" s="42"/>
      <c r="O91" s="42"/>
      <c r="P91" s="42"/>
      <c r="Q91" s="42"/>
      <c r="R91" s="42"/>
      <c r="S91" s="47"/>
      <c r="T91" s="143"/>
    </row>
    <row r="92" spans="1:33" ht="315" customHeight="1" x14ac:dyDescent="0.15">
      <c r="A92" s="65"/>
      <c r="B92" s="66"/>
      <c r="C92" s="71"/>
      <c r="D92" s="66"/>
      <c r="E92" s="66"/>
      <c r="F92" s="66"/>
      <c r="G92" s="168"/>
      <c r="H92" s="168"/>
      <c r="I92" s="169"/>
      <c r="J92" s="45"/>
      <c r="K92" s="45"/>
      <c r="L92" s="48"/>
      <c r="M92" s="48"/>
      <c r="N92" s="49"/>
      <c r="O92" s="50"/>
      <c r="P92" s="50"/>
      <c r="Q92" s="50"/>
      <c r="R92" s="50"/>
      <c r="S92" s="43"/>
      <c r="T92" s="143"/>
    </row>
    <row r="93" spans="1:33" ht="30" customHeight="1" x14ac:dyDescent="0.15">
      <c r="A93" s="65"/>
      <c r="B93" s="66"/>
      <c r="C93" s="66"/>
      <c r="D93" s="66"/>
      <c r="E93" s="66"/>
      <c r="F93" s="66"/>
      <c r="G93" s="168"/>
      <c r="H93" s="168"/>
      <c r="I93" s="169"/>
      <c r="J93" s="45"/>
      <c r="K93" s="45"/>
      <c r="L93" s="48"/>
      <c r="M93" s="48"/>
      <c r="N93" s="49"/>
      <c r="O93" s="50"/>
      <c r="P93" s="50"/>
      <c r="Q93" s="50"/>
      <c r="R93" s="50"/>
      <c r="S93" s="43"/>
      <c r="T93" s="143"/>
    </row>
    <row r="94" spans="1:33" ht="40.15" customHeight="1" x14ac:dyDescent="0.15">
      <c r="A94" s="65"/>
      <c r="B94" s="66"/>
      <c r="C94" s="66"/>
      <c r="D94" s="66"/>
      <c r="E94" s="66"/>
      <c r="F94" s="66"/>
      <c r="G94" s="168"/>
      <c r="H94" s="168"/>
      <c r="I94" s="169"/>
      <c r="J94" s="35"/>
      <c r="K94" s="46"/>
      <c r="L94" s="92" t="s">
        <v>124</v>
      </c>
      <c r="M94" s="144"/>
      <c r="N94" s="77" t="s">
        <v>179</v>
      </c>
      <c r="O94" s="31"/>
      <c r="P94" s="2"/>
      <c r="Q94" s="2"/>
      <c r="R94" s="2"/>
      <c r="S94" s="6"/>
    </row>
    <row r="95" spans="1:33" ht="40.15" customHeight="1" thickBot="1" x14ac:dyDescent="0.3">
      <c r="A95" s="67"/>
      <c r="B95" s="68"/>
      <c r="C95" s="68"/>
      <c r="D95" s="68"/>
      <c r="E95" s="68"/>
      <c r="F95" s="68"/>
      <c r="G95" s="170"/>
      <c r="H95" s="170"/>
      <c r="I95" s="171"/>
      <c r="J95" s="51"/>
      <c r="K95" s="52"/>
      <c r="L95" s="161" t="s">
        <v>125</v>
      </c>
      <c r="M95" s="145"/>
      <c r="N95" s="78" t="s">
        <v>207</v>
      </c>
      <c r="O95" s="53"/>
      <c r="P95" s="54"/>
      <c r="Q95" s="54"/>
      <c r="R95" s="54"/>
      <c r="S95" s="55"/>
      <c r="X95" s="146"/>
      <c r="Y95" s="147"/>
      <c r="Z95" s="148"/>
      <c r="AA95" s="148"/>
      <c r="AB95" s="149"/>
      <c r="AC95" s="149"/>
      <c r="AD95" s="150"/>
      <c r="AE95" s="150"/>
      <c r="AF95" s="150"/>
      <c r="AG95" s="150"/>
    </row>
    <row r="96" spans="1:33" ht="17.45" customHeight="1" x14ac:dyDescent="0.25">
      <c r="X96" s="146"/>
      <c r="Y96" s="147"/>
      <c r="Z96" s="148"/>
      <c r="AA96" s="148"/>
      <c r="AB96" s="149"/>
      <c r="AC96" s="149"/>
      <c r="AD96" s="150"/>
      <c r="AE96" s="150"/>
      <c r="AF96" s="150"/>
      <c r="AG96" s="150"/>
    </row>
    <row r="97" spans="24:33" x14ac:dyDescent="0.25">
      <c r="X97" s="146"/>
      <c r="Y97" s="147"/>
      <c r="Z97" s="148"/>
      <c r="AA97" s="148"/>
      <c r="AB97" s="149"/>
      <c r="AC97" s="149"/>
      <c r="AD97" s="150"/>
      <c r="AE97" s="150"/>
      <c r="AF97" s="150"/>
      <c r="AG97" s="150"/>
    </row>
    <row r="98" spans="24:33" x14ac:dyDescent="0.25">
      <c r="X98" s="146"/>
      <c r="Y98" s="147"/>
      <c r="Z98" s="150"/>
      <c r="AA98" s="149"/>
      <c r="AB98" s="151"/>
      <c r="AC98" s="149"/>
      <c r="AD98" s="150"/>
      <c r="AE98" s="150"/>
      <c r="AF98" s="150"/>
      <c r="AG98" s="150"/>
    </row>
    <row r="99" spans="24:33" x14ac:dyDescent="0.25">
      <c r="X99" s="146"/>
      <c r="Y99" s="148"/>
      <c r="Z99" s="152"/>
      <c r="AA99" s="149"/>
      <c r="AB99" s="151"/>
      <c r="AC99" s="150"/>
      <c r="AD99" s="150"/>
      <c r="AE99" s="150"/>
      <c r="AF99" s="152"/>
      <c r="AG99" s="150"/>
    </row>
    <row r="100" spans="24:33" x14ac:dyDescent="0.25">
      <c r="X100" s="150"/>
      <c r="Y100" s="148"/>
      <c r="Z100" s="150"/>
      <c r="AA100" s="149"/>
      <c r="AB100" s="151"/>
      <c r="AC100" s="150"/>
      <c r="AD100" s="150"/>
      <c r="AE100" s="150"/>
      <c r="AF100" s="150"/>
      <c r="AG100" s="150"/>
    </row>
    <row r="101" spans="24:33" x14ac:dyDescent="0.25">
      <c r="X101" s="150"/>
      <c r="Y101" s="148"/>
      <c r="Z101" s="150"/>
      <c r="AA101" s="149"/>
      <c r="AB101" s="151"/>
      <c r="AC101" s="150"/>
      <c r="AD101" s="150"/>
      <c r="AE101" s="150"/>
      <c r="AF101" s="150"/>
      <c r="AG101" s="150"/>
    </row>
    <row r="102" spans="24:33" x14ac:dyDescent="0.25">
      <c r="X102" s="150"/>
      <c r="Y102" s="148"/>
      <c r="Z102" s="150"/>
      <c r="AA102" s="149"/>
      <c r="AB102" s="149"/>
      <c r="AC102" s="150"/>
      <c r="AD102" s="150"/>
      <c r="AE102" s="150"/>
      <c r="AF102" s="150"/>
      <c r="AG102" s="150"/>
    </row>
    <row r="103" spans="24:33" x14ac:dyDescent="0.25">
      <c r="X103" s="150"/>
      <c r="Y103" s="148"/>
      <c r="Z103" s="150"/>
      <c r="AA103" s="149"/>
      <c r="AB103" s="149"/>
      <c r="AC103" s="150"/>
      <c r="AD103" s="150"/>
      <c r="AE103" s="150"/>
      <c r="AF103" s="150"/>
      <c r="AG103" s="150"/>
    </row>
    <row r="104" spans="24:33" x14ac:dyDescent="0.25">
      <c r="X104" s="150"/>
      <c r="Y104" s="148"/>
      <c r="Z104" s="150"/>
      <c r="AA104" s="149"/>
      <c r="AB104" s="149"/>
      <c r="AC104" s="150"/>
      <c r="AD104" s="150"/>
      <c r="AE104" s="150"/>
      <c r="AF104" s="150"/>
      <c r="AG104" s="150"/>
    </row>
    <row r="105" spans="24:33" x14ac:dyDescent="0.25">
      <c r="X105" s="150"/>
      <c r="Y105" s="148"/>
      <c r="Z105" s="150"/>
      <c r="AA105" s="149"/>
      <c r="AB105" s="149"/>
      <c r="AC105" s="150"/>
      <c r="AD105" s="150"/>
      <c r="AE105" s="150"/>
      <c r="AF105" s="150"/>
      <c r="AG105" s="150"/>
    </row>
    <row r="106" spans="24:33" x14ac:dyDescent="0.25">
      <c r="X106" s="148"/>
      <c r="Y106" s="147"/>
      <c r="Z106" s="150"/>
      <c r="AA106" s="149"/>
      <c r="AB106" s="153"/>
      <c r="AC106" s="149"/>
      <c r="AD106" s="150"/>
      <c r="AE106" s="150"/>
      <c r="AF106" s="150"/>
      <c r="AG106" s="150"/>
    </row>
    <row r="107" spans="24:33" x14ac:dyDescent="0.25">
      <c r="X107" s="148"/>
      <c r="Y107" s="147"/>
      <c r="Z107" s="150"/>
      <c r="AA107" s="149"/>
      <c r="AB107" s="149"/>
      <c r="AC107" s="149"/>
      <c r="AD107" s="150"/>
      <c r="AE107" s="150"/>
      <c r="AF107" s="150"/>
      <c r="AG107" s="150"/>
    </row>
    <row r="108" spans="24:33" x14ac:dyDescent="0.25">
      <c r="X108" s="148"/>
      <c r="Y108" s="147"/>
      <c r="Z108" s="148"/>
      <c r="AA108" s="150"/>
      <c r="AB108" s="150"/>
      <c r="AC108" s="150"/>
      <c r="AD108" s="150"/>
      <c r="AE108" s="150"/>
      <c r="AF108" s="150"/>
      <c r="AG108" s="150"/>
    </row>
    <row r="109" spans="24:33" x14ac:dyDescent="0.25">
      <c r="X109" s="148"/>
      <c r="Y109" s="147"/>
      <c r="Z109" s="148"/>
      <c r="AA109" s="150"/>
      <c r="AB109" s="150"/>
      <c r="AC109" s="150"/>
      <c r="AD109" s="150"/>
      <c r="AE109" s="150"/>
      <c r="AF109" s="150"/>
      <c r="AG109" s="150"/>
    </row>
    <row r="110" spans="24:33" x14ac:dyDescent="0.25">
      <c r="X110" s="148"/>
      <c r="Y110" s="147"/>
      <c r="Z110" s="148"/>
      <c r="AA110" s="150"/>
      <c r="AB110" s="150"/>
      <c r="AC110" s="150"/>
      <c r="AD110" s="150"/>
      <c r="AE110" s="150"/>
      <c r="AF110" s="150"/>
      <c r="AG110" s="150"/>
    </row>
    <row r="111" spans="24:33" x14ac:dyDescent="0.25">
      <c r="X111" s="148"/>
      <c r="Y111" s="147"/>
      <c r="Z111" s="148"/>
      <c r="AA111" s="146"/>
      <c r="AB111" s="150"/>
      <c r="AC111" s="150"/>
      <c r="AD111" s="150"/>
      <c r="AE111" s="150"/>
      <c r="AF111" s="150"/>
      <c r="AG111" s="150"/>
    </row>
    <row r="112" spans="24:33" x14ac:dyDescent="0.25">
      <c r="X112" s="148"/>
      <c r="Y112" s="147"/>
      <c r="Z112" s="148"/>
      <c r="AA112" s="150"/>
      <c r="AB112" s="150"/>
      <c r="AC112" s="150"/>
      <c r="AD112" s="150"/>
      <c r="AE112" s="150"/>
      <c r="AF112" s="150"/>
      <c r="AG112" s="150"/>
    </row>
  </sheetData>
  <mergeCells count="129">
    <mergeCell ref="Q52:R52"/>
    <mergeCell ref="N53:O53"/>
    <mergeCell ref="N54:O54"/>
    <mergeCell ref="N55:O55"/>
    <mergeCell ref="N56:O56"/>
    <mergeCell ref="L49:M57"/>
    <mergeCell ref="N49:O49"/>
    <mergeCell ref="N50:O50"/>
    <mergeCell ref="N51:O51"/>
    <mergeCell ref="N52:O52"/>
    <mergeCell ref="N57:O57"/>
    <mergeCell ref="Q34:R34"/>
    <mergeCell ref="N35:O35"/>
    <mergeCell ref="N36:O36"/>
    <mergeCell ref="Q25:R25"/>
    <mergeCell ref="N26:O26"/>
    <mergeCell ref="N27:O27"/>
    <mergeCell ref="N28:O28"/>
    <mergeCell ref="N29:O29"/>
    <mergeCell ref="Q43:R43"/>
    <mergeCell ref="N37:O37"/>
    <mergeCell ref="N38:O38"/>
    <mergeCell ref="N39:O39"/>
    <mergeCell ref="N40:O40"/>
    <mergeCell ref="N41:O41"/>
    <mergeCell ref="N42:O42"/>
    <mergeCell ref="N43:O43"/>
    <mergeCell ref="Q16:R16"/>
    <mergeCell ref="N13:O13"/>
    <mergeCell ref="B11:B12"/>
    <mergeCell ref="P10:S10"/>
    <mergeCell ref="A10:M10"/>
    <mergeCell ref="A11:A12"/>
    <mergeCell ref="N11:O12"/>
    <mergeCell ref="D11:D12"/>
    <mergeCell ref="C11:C12"/>
    <mergeCell ref="F12:K12"/>
    <mergeCell ref="E11:E12"/>
    <mergeCell ref="A13:A20"/>
    <mergeCell ref="N20:O20"/>
    <mergeCell ref="N14:O14"/>
    <mergeCell ref="N15:O15"/>
    <mergeCell ref="N16:O16"/>
    <mergeCell ref="L13:M21"/>
    <mergeCell ref="N21:O21"/>
    <mergeCell ref="C5:F5"/>
    <mergeCell ref="B66:D66"/>
    <mergeCell ref="B62:D62"/>
    <mergeCell ref="B63:D63"/>
    <mergeCell ref="B60:D61"/>
    <mergeCell ref="C8:F8"/>
    <mergeCell ref="C9:F9"/>
    <mergeCell ref="A21:E21"/>
    <mergeCell ref="A22:A29"/>
    <mergeCell ref="A30:E30"/>
    <mergeCell ref="A31:A38"/>
    <mergeCell ref="A49:A56"/>
    <mergeCell ref="A57:E57"/>
    <mergeCell ref="A39:E39"/>
    <mergeCell ref="A40:A47"/>
    <mergeCell ref="A48:E48"/>
    <mergeCell ref="L84:S86"/>
    <mergeCell ref="D89:F90"/>
    <mergeCell ref="A89:C90"/>
    <mergeCell ref="A1:S1"/>
    <mergeCell ref="G2:H2"/>
    <mergeCell ref="N3:O3"/>
    <mergeCell ref="P3:Q3"/>
    <mergeCell ref="R3:S3"/>
    <mergeCell ref="C3:F3"/>
    <mergeCell ref="R7:S7"/>
    <mergeCell ref="C7:F7"/>
    <mergeCell ref="P4:Q5"/>
    <mergeCell ref="N4:O5"/>
    <mergeCell ref="R4:S5"/>
    <mergeCell ref="C4:F4"/>
    <mergeCell ref="C6:F6"/>
    <mergeCell ref="G89:I90"/>
    <mergeCell ref="N58:O58"/>
    <mergeCell ref="P58:S58"/>
    <mergeCell ref="A60:A61"/>
    <mergeCell ref="A58:E58"/>
    <mergeCell ref="A59:S59"/>
    <mergeCell ref="E61:J61"/>
    <mergeCell ref="N19:O19"/>
    <mergeCell ref="A91:C91"/>
    <mergeCell ref="A85:I85"/>
    <mergeCell ref="A86:I86"/>
    <mergeCell ref="A87:I87"/>
    <mergeCell ref="A88:I88"/>
    <mergeCell ref="A84:I84"/>
    <mergeCell ref="B67:D67"/>
    <mergeCell ref="B68:D68"/>
    <mergeCell ref="B64:D64"/>
    <mergeCell ref="B65:D65"/>
    <mergeCell ref="B81:D81"/>
    <mergeCell ref="B76:D76"/>
    <mergeCell ref="B77:D77"/>
    <mergeCell ref="B75:D75"/>
    <mergeCell ref="B78:D78"/>
    <mergeCell ref="B79:D79"/>
    <mergeCell ref="B80:D80"/>
    <mergeCell ref="B70:D70"/>
    <mergeCell ref="B71:D71"/>
    <mergeCell ref="B73:D73"/>
    <mergeCell ref="B74:D74"/>
    <mergeCell ref="A83:B83"/>
    <mergeCell ref="B72:D72"/>
    <mergeCell ref="B82:D82"/>
    <mergeCell ref="B69:D69"/>
    <mergeCell ref="N17:O17"/>
    <mergeCell ref="N18:O18"/>
    <mergeCell ref="L22:M30"/>
    <mergeCell ref="N22:O22"/>
    <mergeCell ref="N23:O23"/>
    <mergeCell ref="N24:O24"/>
    <mergeCell ref="N25:O25"/>
    <mergeCell ref="N30:O30"/>
    <mergeCell ref="L31:M39"/>
    <mergeCell ref="N31:O31"/>
    <mergeCell ref="N32:O32"/>
    <mergeCell ref="N33:O33"/>
    <mergeCell ref="N34:O34"/>
    <mergeCell ref="N44:O44"/>
    <mergeCell ref="N45:O45"/>
    <mergeCell ref="N46:O46"/>
    <mergeCell ref="N47:O47"/>
    <mergeCell ref="L40:M48"/>
    <mergeCell ref="N48:O48"/>
  </mergeCells>
  <phoneticPr fontId="3" type="noConversion"/>
  <printOptions horizontalCentered="1"/>
  <pageMargins left="0.23622047244094491" right="3.937007874015748E-2" top="0.19685039370078741" bottom="0" header="0.31496062992125984" footer="0.31496062992125984"/>
  <pageSetup scale="26" fitToHeight="0" orientation="portrait" verticalDpi="4294967293" r:id="rId1"/>
  <headerFooter alignWithMargins="0"/>
  <rowBreaks count="1" manualBreakCount="1">
    <brk id="58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CREW NECK</vt:lpstr>
      <vt:lpstr>'CREW NECK'!Print_Area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Allie Kim</dc:creator>
  <cp:keywords/>
  <dc:description/>
  <cp:lastModifiedBy>Haram Chang - Apparel Links</cp:lastModifiedBy>
  <cp:revision/>
  <cp:lastPrinted>2025-11-03T19:31:32Z</cp:lastPrinted>
  <dcterms:created xsi:type="dcterms:W3CDTF">2016-04-27T19:09:30Z</dcterms:created>
  <dcterms:modified xsi:type="dcterms:W3CDTF">2025-11-11T14:25:57Z</dcterms:modified>
  <cp:category/>
  <cp:contentStatus/>
</cp:coreProperties>
</file>