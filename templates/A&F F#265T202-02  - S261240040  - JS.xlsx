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- INT\Desktop\HOJAS DE TRABAJO PRODUCCION\265T202-02  - S261240040\"/>
    </mc:Choice>
  </mc:AlternateContent>
  <xr:revisionPtr revIDLastSave="0" documentId="13_ncr:1_{3EF7D68D-8E83-4C98-9ED4-6C9408149F0A}" xr6:coauthVersionLast="47" xr6:coauthVersionMax="47" xr10:uidLastSave="{00000000-0000-0000-0000-000000000000}"/>
  <bookViews>
    <workbookView xWindow="-108" yWindow="-108" windowWidth="23256" windowHeight="12576" xr2:uid="{4FD5EBBD-4A99-4528-8C14-BFEECF17B547}"/>
  </bookViews>
  <sheets>
    <sheet name="Sheet1" sheetId="1" r:id="rId1"/>
  </sheets>
  <definedNames>
    <definedName name="_xlnm.Print_Area" localSheetId="0">Sheet1!$A$1:$Y$38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1" l="1"/>
  <c r="Y11" i="1"/>
  <c r="X11" i="1"/>
  <c r="Y12" i="1"/>
  <c r="T13" i="1"/>
  <c r="S13" i="1"/>
  <c r="R13" i="1"/>
  <c r="Q13" i="1"/>
  <c r="P13" i="1"/>
  <c r="O13" i="1"/>
  <c r="N13" i="1"/>
  <c r="M13" i="1"/>
  <c r="L13" i="1"/>
  <c r="K13" i="1"/>
  <c r="J13" i="1"/>
  <c r="U12" i="1"/>
  <c r="U11" i="1"/>
  <c r="V11" i="1"/>
  <c r="I2" i="1"/>
  <c r="B11" i="1"/>
  <c r="A11" i="1"/>
  <c r="U13" i="1" l="1"/>
  <c r="C7" i="1" s="1"/>
</calcChain>
</file>

<file path=xl/sharedStrings.xml><?xml version="1.0" encoding="utf-8"?>
<sst xmlns="http://schemas.openxmlformats.org/spreadsheetml/2006/main" count="95" uniqueCount="82">
  <si>
    <t>작성자:</t>
  </si>
  <si>
    <t>원자제 사항</t>
  </si>
  <si>
    <t>결</t>
  </si>
  <si>
    <t>담담</t>
  </si>
  <si>
    <t>팀장</t>
  </si>
  <si>
    <t>부서장</t>
  </si>
  <si>
    <t>제</t>
  </si>
  <si>
    <t>BUYER</t>
  </si>
  <si>
    <t>ANF</t>
  </si>
  <si>
    <t>1. FABRIC</t>
  </si>
  <si>
    <t>품</t>
  </si>
  <si>
    <t>2. COLLAR</t>
  </si>
  <si>
    <t>사</t>
  </si>
  <si>
    <t>WEIGHT</t>
  </si>
  <si>
    <t>원단 폭 (FABRIC WIDTH)</t>
  </si>
  <si>
    <t>항</t>
  </si>
  <si>
    <t>QTY (PCS)</t>
  </si>
  <si>
    <t>부속 폭 (COLLAR WIDTH)</t>
  </si>
  <si>
    <t>DELIVERY</t>
  </si>
  <si>
    <t>DESCRIPTION</t>
  </si>
  <si>
    <t>별 수량 (COLOR / SIZE)</t>
  </si>
  <si>
    <t>IMAGE</t>
  </si>
  <si>
    <t>S</t>
  </si>
  <si>
    <t>M</t>
  </si>
  <si>
    <t>L</t>
  </si>
  <si>
    <t>XL</t>
  </si>
  <si>
    <t>XXL</t>
  </si>
  <si>
    <t>TOTAL</t>
  </si>
  <si>
    <t>DELIVERY DATE</t>
  </si>
  <si>
    <t>CONSTRUCTION</t>
  </si>
  <si>
    <t>CONSTRUCTION DETAILS</t>
  </si>
  <si>
    <t>SPEC</t>
  </si>
  <si>
    <t>IMPORTANT INFORMATION</t>
  </si>
  <si>
    <t>M T</t>
  </si>
  <si>
    <t>L T</t>
  </si>
  <si>
    <t>XL T</t>
  </si>
  <si>
    <t>XXL T</t>
  </si>
  <si>
    <t>FILE</t>
  </si>
  <si>
    <t>STYLE</t>
  </si>
  <si>
    <t>* REFERIRSE A TRIM SHEET ADJUNTO EN EL CORREO</t>
  </si>
  <si>
    <t>Jessica Palacios</t>
  </si>
  <si>
    <t>TYPE OF WASH</t>
  </si>
  <si>
    <t xml:space="preserve">XS </t>
  </si>
  <si>
    <t>HEAT TRANSFER</t>
  </si>
  <si>
    <t>** JS INTERNATIONAL **</t>
  </si>
  <si>
    <t>BODY:
SINGLE</t>
  </si>
  <si>
    <t>COLLAR: 
RIB 1X1</t>
  </si>
  <si>
    <t>BACK NECK TAPE:</t>
  </si>
  <si>
    <t>BRIGHT
WHITE</t>
  </si>
  <si>
    <r>
      <t xml:space="preserve">APPAREL LINKS, S.A.
</t>
    </r>
    <r>
      <rPr>
        <sz val="9"/>
        <color theme="1"/>
        <rFont val="Calibri"/>
        <family val="2"/>
        <scheme val="minor"/>
      </rPr>
      <t>CALZADA ROOSEVELT 22-43 ZONA 11
EDIFICIO TIKAL FUTURA, TORRE SOL NIVEL 16
GUATEMALA, GUATEMALA</t>
    </r>
  </si>
  <si>
    <t>PROCESO (REACTIVE + MINERAL):</t>
  </si>
  <si>
    <t>WASHING
MILL</t>
  </si>
  <si>
    <t xml:space="preserve">SINGLE </t>
  </si>
  <si>
    <t>YD/DZ</t>
  </si>
  <si>
    <t xml:space="preserve">RIB </t>
  </si>
  <si>
    <t>72/74</t>
    <phoneticPr fontId="2" type="noConversion"/>
  </si>
  <si>
    <t>UNIT PRICE</t>
  </si>
  <si>
    <t>원단 소비량 / 가격 
(COMSUPTION / U/P)</t>
  </si>
  <si>
    <t>LOSS %</t>
  </si>
  <si>
    <t>SINGLE
LOSS</t>
  </si>
  <si>
    <t>RIB
 LOSS</t>
  </si>
  <si>
    <t>KIMS
GLOBAL</t>
  </si>
  <si>
    <r>
      <t>CORTE → COSTURA → ACCESORIOS [</t>
    </r>
    <r>
      <rPr>
        <b/>
        <sz val="14"/>
        <color rgb="FFFF0000"/>
        <rFont val="Calibri"/>
        <family val="2"/>
        <scheme val="minor"/>
      </rPr>
      <t>GLOBAL &amp; COMPLIANCE / TEARAWAY</t>
    </r>
    <r>
      <rPr>
        <b/>
        <sz val="14"/>
        <color theme="1"/>
        <rFont val="Calibri"/>
        <family val="2"/>
        <scheme val="minor"/>
      </rPr>
      <t>] → LAVANDERIA [KIMS GLOBAL] → ACCESORIOS [</t>
    </r>
    <r>
      <rPr>
        <b/>
        <sz val="14"/>
        <color rgb="FFFF0000"/>
        <rFont val="Calibri"/>
        <family val="2"/>
        <scheme val="minor"/>
      </rPr>
      <t>HEAT TRANSFER]</t>
    </r>
    <r>
      <rPr>
        <b/>
        <sz val="14"/>
        <color theme="1"/>
        <rFont val="Calibri"/>
        <family val="2"/>
        <scheme val="minor"/>
      </rPr>
      <t xml:space="preserve"> → PLANCHA → EMPAQUE</t>
    </r>
  </si>
  <si>
    <t>S261240040</t>
  </si>
  <si>
    <t>CM 20'S SINGLE JERSEY</t>
  </si>
  <si>
    <t>CM 20'S - 1X1 RIB</t>
  </si>
  <si>
    <t>285GM2</t>
  </si>
  <si>
    <t>180 GM2</t>
  </si>
  <si>
    <t>74/76</t>
  </si>
  <si>
    <t>1. BOUND COLLAR
-1/8" 2N 406 *3/4" DE ALTURA
2. COSTURAS DE HOMBRO
1/4" 2N (406) STRADDLE TOPSTITCHING
3. BOCAMANGA:
1/8" 2N 406 CON AGUJA DE UN LADO Y OTRA DEL LADO DEL CUERPO
4. *BNT HPS TO HPS - 3/8" SELF FABRIC
 AGREGAR PUNTADAS VERTICALES EN AMBOS EXTREMOS DEL TAPE PARA ASEGURARLO AL CUERPO
5.  RUEDO DE FONDO Y MANGA
1/4" 2N 406 -  TURNBACK HEM DE 1"
6. NO LLEVA TOPSTICHING EN LOS COSTADOS</t>
  </si>
  <si>
    <t>SOFT A&amp;F COLLECTION ITEM
 ESSENTIAL TEE
CLASSIC FIT</t>
  </si>
  <si>
    <t>SS CLASSIC ESSENTIAL TEE</t>
  </si>
  <si>
    <t>MOREL
REACTIVE
+
MINERAL
1</t>
  </si>
  <si>
    <t>SHADOW
REACTIVE
+
MINERAL
2</t>
  </si>
  <si>
    <t>MOREL</t>
  </si>
  <si>
    <t>SHADOW</t>
  </si>
  <si>
    <r>
      <rPr>
        <b/>
        <sz val="16"/>
        <color rgb="FFFF0000"/>
        <rFont val="Calibri"/>
        <family val="2"/>
        <scheme val="minor"/>
      </rPr>
      <t xml:space="preserve">* HILO:
</t>
    </r>
    <r>
      <rPr>
        <sz val="16"/>
        <rFont val="Calibri"/>
        <family val="2"/>
        <scheme val="minor"/>
      </rPr>
      <t>-&gt; MOREL ACID : HILO DE ALGODON
-&gt; SHADOW ACID: HILO DE ALGODON</t>
    </r>
  </si>
  <si>
    <r>
      <rPr>
        <b/>
        <sz val="16"/>
        <color rgb="FFFF0000"/>
        <rFont val="Calibri"/>
        <family val="2"/>
        <scheme val="minor"/>
      </rPr>
      <t>* HEAT TRANSFER - (AMP2_25S_003)
SOFT A&amp;F COLLECTION - ESSENTIAL TEE - CLASSIC FIT</t>
    </r>
    <r>
      <rPr>
        <sz val="16"/>
        <color theme="1"/>
        <rFont val="Calibri"/>
        <family val="2"/>
        <scheme val="minor"/>
      </rPr>
      <t xml:space="preserve">
-&gt; MORE ACID: BRIGHT WHITE 11-0601 TCX
-&gt; SHADOW ACID: BRIGHT WHITE 11-0601 TCX</t>
    </r>
  </si>
  <si>
    <r>
      <rPr>
        <b/>
        <sz val="16"/>
        <color rgb="FFFF0000"/>
        <rFont val="Calibri"/>
        <family val="2"/>
        <scheme val="minor"/>
      </rPr>
      <t xml:space="preserve">*GARMENT DYE TAG
</t>
    </r>
    <r>
      <rPr>
        <sz val="16"/>
        <rFont val="Calibri"/>
        <family val="2"/>
        <scheme val="minor"/>
      </rPr>
      <t xml:space="preserve">*MOREL ACID
*SHADOW ACID
</t>
    </r>
  </si>
  <si>
    <r>
      <rPr>
        <b/>
        <sz val="16"/>
        <color rgb="FFFF0000"/>
        <rFont val="Calibri"/>
        <family val="2"/>
        <scheme val="minor"/>
      </rPr>
      <t xml:space="preserve">*TEARAWAY
</t>
    </r>
    <r>
      <rPr>
        <sz val="16"/>
        <rFont val="Calibri"/>
        <family val="2"/>
        <scheme val="minor"/>
      </rPr>
      <t xml:space="preserve">1. MOREL ACID
2. SHADOW ACID
</t>
    </r>
    <r>
      <rPr>
        <sz val="16"/>
        <color theme="1"/>
        <rFont val="Calibri"/>
        <family val="2"/>
        <scheme val="minor"/>
      </rPr>
      <t xml:space="preserve">
</t>
    </r>
  </si>
  <si>
    <t>ABERCROMBIE &amp; FITCH F#265T202-02 -  S#S261240040 봉제 정 작업 지시서</t>
  </si>
  <si>
    <t>265T202-02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</si>
</sst>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/mmm;@"/>
    <numFmt numFmtId="165" formatCode="#,##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gradientFill>
        <stop position="0">
          <color theme="0"/>
        </stop>
        <stop position="1">
          <color theme="8" tint="0.80001220740379042"/>
        </stop>
      </gradientFill>
    </fill>
    <fill>
      <gradientFill>
        <stop position="0">
          <color theme="0"/>
        </stop>
        <stop position="1">
          <color theme="9" tint="0.80001220740379042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E5F6CE"/>
        <bgColor indexed="64"/>
      </patternFill>
    </fill>
    <fill>
      <patternFill patternType="solid">
        <fgColor theme="5" tint="0.59999389629810485"/>
        <bgColor auto="1"/>
      </patternFill>
    </fill>
    <fill>
      <patternFill patternType="solid">
        <fgColor rgb="FF00FF0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1" xfId="0" applyFill="1" applyBorder="1" applyAlignment="1">
      <alignment vertical="center"/>
    </xf>
    <xf numFmtId="0" fontId="4" fillId="0" borderId="42" xfId="0" applyFont="1" applyBorder="1" applyAlignment="1">
      <alignment horizontal="right" vertical="center" textRotation="90" wrapText="1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26" xfId="0" applyBorder="1"/>
    <xf numFmtId="0" fontId="0" fillId="0" borderId="27" xfId="0" applyBorder="1"/>
    <xf numFmtId="14" fontId="15" fillId="0" borderId="2" xfId="0" quotePrefix="1" applyNumberFormat="1" applyFont="1" applyBorder="1" applyAlignment="1">
      <alignment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8" fillId="0" borderId="41" xfId="0" applyFont="1" applyBorder="1" applyAlignment="1">
      <alignment horizontal="center" vertical="center" wrapText="1"/>
    </xf>
    <xf numFmtId="0" fontId="14" fillId="0" borderId="57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4" fillId="0" borderId="50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15" fillId="0" borderId="58" xfId="0" applyFont="1" applyBorder="1" applyAlignment="1">
      <alignment vertical="center"/>
    </xf>
    <xf numFmtId="0" fontId="14" fillId="8" borderId="39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2" fillId="4" borderId="61" xfId="0" applyFont="1" applyFill="1" applyBorder="1" applyAlignment="1">
      <alignment horizontal="center" vertical="center" wrapText="1"/>
    </xf>
    <xf numFmtId="0" fontId="14" fillId="8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vertical="center" wrapText="1"/>
    </xf>
    <xf numFmtId="0" fontId="2" fillId="2" borderId="64" xfId="0" applyFont="1" applyFill="1" applyBorder="1" applyAlignment="1">
      <alignment vertical="center" wrapText="1"/>
    </xf>
    <xf numFmtId="0" fontId="2" fillId="2" borderId="65" xfId="0" applyFont="1" applyFill="1" applyBorder="1" applyAlignment="1">
      <alignment vertical="center" wrapText="1"/>
    </xf>
    <xf numFmtId="3" fontId="5" fillId="0" borderId="45" xfId="0" applyNumberFormat="1" applyFont="1" applyBorder="1" applyAlignment="1">
      <alignment horizontal="center" vertical="center"/>
    </xf>
    <xf numFmtId="3" fontId="20" fillId="0" borderId="43" xfId="0" applyNumberFormat="1" applyFont="1" applyBorder="1" applyAlignment="1">
      <alignment horizontal="center" vertical="center"/>
    </xf>
    <xf numFmtId="3" fontId="20" fillId="0" borderId="44" xfId="0" applyNumberFormat="1" applyFont="1" applyBorder="1" applyAlignment="1">
      <alignment horizontal="center" vertical="center"/>
    </xf>
    <xf numFmtId="3" fontId="21" fillId="0" borderId="22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0" xfId="0" applyFont="1" applyBorder="1"/>
    <xf numFmtId="0" fontId="16" fillId="0" borderId="10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20" xfId="0" applyFont="1" applyBorder="1"/>
    <xf numFmtId="0" fontId="16" fillId="0" borderId="20" xfId="0" applyFont="1" applyBorder="1" applyAlignment="1">
      <alignment vertical="center"/>
    </xf>
    <xf numFmtId="0" fontId="16" fillId="0" borderId="56" xfId="0" applyFont="1" applyBorder="1" applyAlignment="1">
      <alignment vertical="center"/>
    </xf>
    <xf numFmtId="0" fontId="16" fillId="0" borderId="58" xfId="0" applyFont="1" applyBorder="1"/>
    <xf numFmtId="0" fontId="16" fillId="0" borderId="58" xfId="0" applyFont="1" applyBorder="1" applyAlignment="1">
      <alignment vertical="center"/>
    </xf>
    <xf numFmtId="0" fontId="16" fillId="0" borderId="59" xfId="0" applyFont="1" applyBorder="1" applyAlignment="1">
      <alignment vertical="center"/>
    </xf>
    <xf numFmtId="0" fontId="2" fillId="0" borderId="71" xfId="0" applyFont="1" applyBorder="1" applyAlignment="1">
      <alignment horizontal="center" vertical="center"/>
    </xf>
    <xf numFmtId="0" fontId="16" fillId="0" borderId="51" xfId="0" applyFont="1" applyBorder="1" applyAlignment="1">
      <alignment vertical="center"/>
    </xf>
    <xf numFmtId="9" fontId="13" fillId="0" borderId="72" xfId="0" applyNumberFormat="1" applyFont="1" applyBorder="1" applyAlignment="1">
      <alignment horizontal="center" vertical="center"/>
    </xf>
    <xf numFmtId="165" fontId="13" fillId="0" borderId="73" xfId="0" applyNumberFormat="1" applyFont="1" applyBorder="1" applyAlignment="1">
      <alignment horizontal="center" vertical="center"/>
    </xf>
    <xf numFmtId="165" fontId="13" fillId="0" borderId="74" xfId="0" applyNumberFormat="1" applyFont="1" applyBorder="1" applyAlignment="1">
      <alignment horizontal="center" vertical="center"/>
    </xf>
    <xf numFmtId="0" fontId="22" fillId="9" borderId="41" xfId="0" applyFont="1" applyFill="1" applyBorder="1" applyAlignment="1">
      <alignment horizontal="center" vertical="center" wrapText="1"/>
    </xf>
    <xf numFmtId="3" fontId="21" fillId="3" borderId="47" xfId="0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left" vertical="top" wrapText="1"/>
    </xf>
    <xf numFmtId="0" fontId="16" fillId="0" borderId="30" xfId="0" applyFont="1" applyBorder="1" applyAlignment="1">
      <alignment horizontal="left" vertical="top" wrapText="1"/>
    </xf>
    <xf numFmtId="44" fontId="5" fillId="0" borderId="58" xfId="1" applyFont="1" applyBorder="1" applyAlignment="1">
      <alignment horizontal="center" vertical="center"/>
    </xf>
    <xf numFmtId="44" fontId="5" fillId="0" borderId="59" xfId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3" fontId="19" fillId="0" borderId="19" xfId="0" applyNumberFormat="1" applyFont="1" applyBorder="1" applyAlignment="1">
      <alignment horizontal="center" vertical="center"/>
    </xf>
    <xf numFmtId="3" fontId="19" fillId="0" borderId="20" xfId="0" applyNumberFormat="1" applyFont="1" applyBorder="1" applyAlignment="1">
      <alignment horizontal="center" vertical="center"/>
    </xf>
    <xf numFmtId="3" fontId="19" fillId="0" borderId="56" xfId="0" applyNumberFormat="1" applyFont="1" applyBorder="1" applyAlignment="1">
      <alignment horizontal="center" vertical="center"/>
    </xf>
    <xf numFmtId="16" fontId="5" fillId="7" borderId="51" xfId="0" quotePrefix="1" applyNumberFormat="1" applyFont="1" applyFill="1" applyBorder="1" applyAlignment="1">
      <alignment horizontal="center" vertical="center"/>
    </xf>
    <xf numFmtId="16" fontId="5" fillId="7" borderId="58" xfId="0" quotePrefix="1" applyNumberFormat="1" applyFont="1" applyFill="1" applyBorder="1" applyAlignment="1">
      <alignment horizontal="center" vertical="center"/>
    </xf>
    <xf numFmtId="16" fontId="5" fillId="7" borderId="59" xfId="0" quotePrefix="1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4" fillId="6" borderId="53" xfId="0" applyFont="1" applyFill="1" applyBorder="1" applyAlignment="1">
      <alignment horizontal="center" vertical="center"/>
    </xf>
    <xf numFmtId="0" fontId="14" fillId="6" borderId="54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 textRotation="90"/>
    </xf>
    <xf numFmtId="0" fontId="6" fillId="0" borderId="66" xfId="0" applyFont="1" applyBorder="1" applyAlignment="1">
      <alignment horizontal="center" vertical="center" textRotation="90"/>
    </xf>
    <xf numFmtId="0" fontId="6" fillId="0" borderId="46" xfId="0" applyFont="1" applyBorder="1" applyAlignment="1">
      <alignment horizontal="center" vertical="center" textRotation="90"/>
    </xf>
    <xf numFmtId="0" fontId="6" fillId="0" borderId="40" xfId="0" applyFont="1" applyBorder="1" applyAlignment="1">
      <alignment horizontal="center" vertical="center" textRotation="90" wrapText="1"/>
    </xf>
    <xf numFmtId="0" fontId="6" fillId="0" borderId="67" xfId="0" applyFont="1" applyBorder="1" applyAlignment="1">
      <alignment horizontal="center" vertical="center" textRotation="90" wrapText="1"/>
    </xf>
    <xf numFmtId="0" fontId="6" fillId="0" borderId="48" xfId="0" applyFont="1" applyBorder="1" applyAlignment="1">
      <alignment horizontal="center" vertical="center" textRotation="90" wrapText="1"/>
    </xf>
    <xf numFmtId="164" fontId="13" fillId="3" borderId="68" xfId="0" quotePrefix="1" applyNumberFormat="1" applyFont="1" applyFill="1" applyBorder="1" applyAlignment="1">
      <alignment horizontal="center" vertical="center" wrapText="1"/>
    </xf>
    <xf numFmtId="164" fontId="13" fillId="3" borderId="69" xfId="0" quotePrefix="1" applyNumberFormat="1" applyFont="1" applyFill="1" applyBorder="1" applyAlignment="1">
      <alignment horizontal="center" vertical="center" wrapText="1"/>
    </xf>
    <xf numFmtId="164" fontId="13" fillId="3" borderId="70" xfId="0" quotePrefix="1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0" fillId="0" borderId="0" xfId="0" applyBorder="1"/>
    <xf numFmtId="0" fontId="16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FF00"/>
      <color rgb="FF336699"/>
      <color rgb="FF294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777784</xdr:colOff>
      <xdr:row>14</xdr:row>
      <xdr:rowOff>206284</xdr:rowOff>
    </xdr:from>
    <xdr:to>
      <xdr:col>13</xdr:col>
      <xdr:colOff>208498</xdr:colOff>
      <xdr:row>23</xdr:row>
      <xdr:rowOff>802822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58F3804-A4AD-40D7-BF8F-544A25621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141" y="13650141"/>
          <a:ext cx="10909972" cy="5236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496644</xdr:colOff>
      <xdr:row>25</xdr:row>
      <xdr:rowOff>46728</xdr:rowOff>
    </xdr:from>
    <xdr:to>
      <xdr:col>16</xdr:col>
      <xdr:colOff>346437</xdr:colOff>
      <xdr:row>36</xdr:row>
      <xdr:rowOff>1295399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025C70-78B8-4926-9E5E-3FCE0017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44" y="15058128"/>
          <a:ext cx="13524155" cy="12090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126905</xdr:colOff>
      <xdr:row>10</xdr:row>
      <xdr:rowOff>159306</xdr:rowOff>
    </xdr:from>
    <xdr:to>
      <xdr:col>8</xdr:col>
      <xdr:colOff>1271909</xdr:colOff>
      <xdr:row>10</xdr:row>
      <xdr:rowOff>1174195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4E1A0D1-94C4-465D-8FB5-A17BB990D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0448" y="3588306"/>
          <a:ext cx="1145004" cy="1014889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116318</xdr:colOff>
      <xdr:row>11</xdr:row>
      <xdr:rowOff>109684</xdr:rowOff>
    </xdr:from>
    <xdr:to>
      <xdr:col>8</xdr:col>
      <xdr:colOff>1274333</xdr:colOff>
      <xdr:row>11</xdr:row>
      <xdr:rowOff>1215653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C3B554E-0A09-496D-832B-35A88D4DD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79861" y="4877627"/>
          <a:ext cx="1158015" cy="1105969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53D4-F389-4E36-A9B8-50CEC40F5889}">
  <sheetPr>
    <pageSetUpPr fitToPage="1"/>
  </sheetPr>
  <dimension ref="A1:Y52"/>
  <sheetViews>
    <sheetView showGridLines="0" tabSelected="1" view="pageBreakPreview" topLeftCell="A7" zoomScale="70" zoomScaleNormal="100" zoomScaleSheetLayoutView="70" workbookViewId="0">
      <selection activeCell="K11" sqref="K11"/>
    </sheetView>
  </sheetViews>
  <sheetFormatPr defaultRowHeight="14.4"/>
  <cols>
    <col min="1" max="1" width="9.88671875" customWidth="1"/>
    <col min="2" max="2" width="15.77734375" customWidth="1"/>
    <col min="3" max="3" width="10.88671875" customWidth="1"/>
    <col min="4" max="4" width="11.5546875" customWidth="1"/>
    <col min="5" max="5" width="15.109375" customWidth="1"/>
    <col min="6" max="6" width="16.88671875" customWidth="1"/>
    <col min="7" max="8" width="15.88671875" customWidth="1"/>
    <col min="9" max="9" width="23.77734375" customWidth="1"/>
    <col min="10" max="10" width="11.21875" customWidth="1"/>
    <col min="11" max="11" width="10.33203125" customWidth="1"/>
    <col min="12" max="13" width="10" customWidth="1"/>
    <col min="14" max="14" width="9.33203125" customWidth="1"/>
    <col min="15" max="15" width="9.44140625" customWidth="1"/>
    <col min="16" max="16" width="3.33203125" customWidth="1"/>
    <col min="17" max="17" width="9.44140625" customWidth="1"/>
    <col min="18" max="18" width="10.109375" customWidth="1"/>
    <col min="19" max="19" width="10.44140625" customWidth="1"/>
    <col min="20" max="20" width="7.77734375" customWidth="1"/>
    <col min="21" max="23" width="12.21875" customWidth="1"/>
    <col min="24" max="24" width="11.21875" customWidth="1"/>
    <col min="25" max="25" width="9.33203125" customWidth="1"/>
  </cols>
  <sheetData>
    <row r="1" spans="1:25" ht="30" customHeight="1" thickBot="1">
      <c r="A1" s="85" t="s">
        <v>80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3" t="s">
        <v>44</v>
      </c>
      <c r="V1" s="83"/>
      <c r="W1" s="83"/>
      <c r="X1" s="83"/>
      <c r="Y1" s="84"/>
    </row>
    <row r="2" spans="1:25" ht="18.600000000000001" thickBot="1">
      <c r="A2" s="1" t="s">
        <v>0</v>
      </c>
      <c r="B2" s="2" t="s">
        <v>40</v>
      </c>
      <c r="C2" s="2"/>
      <c r="D2" s="2"/>
      <c r="E2" s="2"/>
      <c r="F2" s="2"/>
      <c r="G2" s="2"/>
      <c r="H2" s="2"/>
      <c r="I2" s="36">
        <f ca="1">TODAY()</f>
        <v>45961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35.4" customHeight="1" thickBot="1">
      <c r="A3" s="4"/>
      <c r="B3" s="41" t="s">
        <v>37</v>
      </c>
      <c r="C3" s="97" t="s">
        <v>81</v>
      </c>
      <c r="D3" s="98"/>
      <c r="E3" s="98"/>
      <c r="F3" s="98"/>
      <c r="G3" s="99"/>
      <c r="H3" s="100" t="s">
        <v>1</v>
      </c>
      <c r="I3" s="101"/>
      <c r="J3" s="101"/>
      <c r="K3" s="101"/>
      <c r="L3" s="101"/>
      <c r="M3" s="101"/>
      <c r="N3" s="101"/>
      <c r="O3" s="102" t="s">
        <v>57</v>
      </c>
      <c r="P3" s="103"/>
      <c r="Q3" s="103"/>
      <c r="R3" s="103"/>
      <c r="S3" s="104"/>
      <c r="T3" s="5" t="s">
        <v>2</v>
      </c>
      <c r="U3" s="71" t="s">
        <v>3</v>
      </c>
      <c r="V3" s="6" t="s">
        <v>3</v>
      </c>
      <c r="W3" s="6" t="s">
        <v>4</v>
      </c>
      <c r="X3" s="87" t="s">
        <v>5</v>
      </c>
      <c r="Y3" s="88"/>
    </row>
    <row r="4" spans="1:25" ht="26.4" customHeight="1">
      <c r="A4" s="7" t="s">
        <v>6</v>
      </c>
      <c r="B4" s="44" t="s">
        <v>7</v>
      </c>
      <c r="C4" s="105" t="s">
        <v>8</v>
      </c>
      <c r="D4" s="106"/>
      <c r="E4" s="106"/>
      <c r="F4" s="106"/>
      <c r="G4" s="107"/>
      <c r="H4" s="40" t="s">
        <v>9</v>
      </c>
      <c r="I4" s="41"/>
      <c r="J4" s="60" t="s">
        <v>64</v>
      </c>
      <c r="K4" s="61"/>
      <c r="L4" s="62"/>
      <c r="M4" s="62"/>
      <c r="N4" s="63"/>
      <c r="O4" s="40" t="s">
        <v>52</v>
      </c>
      <c r="P4" s="42"/>
      <c r="Q4" s="108">
        <v>9.5299999999999994</v>
      </c>
      <c r="R4" s="108"/>
      <c r="S4" s="63" t="s">
        <v>53</v>
      </c>
      <c r="T4" s="8"/>
      <c r="U4" s="9"/>
      <c r="V4" s="10"/>
      <c r="W4" s="10"/>
      <c r="X4" s="11"/>
      <c r="Y4" s="12"/>
    </row>
    <row r="5" spans="1:25" ht="26.4" customHeight="1" thickBot="1">
      <c r="A5" s="7" t="s">
        <v>10</v>
      </c>
      <c r="B5" s="44" t="s">
        <v>38</v>
      </c>
      <c r="C5" s="105" t="s">
        <v>63</v>
      </c>
      <c r="D5" s="106"/>
      <c r="E5" s="106"/>
      <c r="F5" s="106"/>
      <c r="G5" s="107"/>
      <c r="H5" s="43" t="s">
        <v>11</v>
      </c>
      <c r="I5" s="44"/>
      <c r="J5" s="64" t="s">
        <v>65</v>
      </c>
      <c r="K5" s="65"/>
      <c r="L5" s="66"/>
      <c r="M5" s="66" t="s">
        <v>66</v>
      </c>
      <c r="N5" s="67"/>
      <c r="O5" s="43" t="s">
        <v>54</v>
      </c>
      <c r="P5" s="45"/>
      <c r="Q5" s="115">
        <v>0.40300000000000002</v>
      </c>
      <c r="R5" s="115"/>
      <c r="S5" s="67" t="s">
        <v>53</v>
      </c>
      <c r="T5" s="13" t="s">
        <v>6</v>
      </c>
      <c r="U5" s="14"/>
      <c r="V5" s="15"/>
      <c r="W5" s="15"/>
      <c r="X5" s="16"/>
      <c r="Y5" s="17"/>
    </row>
    <row r="6" spans="1:25" ht="26.4" customHeight="1">
      <c r="A6" s="7" t="s">
        <v>12</v>
      </c>
      <c r="B6" s="44" t="s">
        <v>13</v>
      </c>
      <c r="C6" s="105" t="s">
        <v>67</v>
      </c>
      <c r="D6" s="106"/>
      <c r="E6" s="106"/>
      <c r="F6" s="106"/>
      <c r="G6" s="107"/>
      <c r="H6" s="43" t="s">
        <v>14</v>
      </c>
      <c r="I6" s="44"/>
      <c r="J6" s="64" t="s">
        <v>68</v>
      </c>
      <c r="K6" s="65"/>
      <c r="L6" s="66"/>
      <c r="M6" s="66"/>
      <c r="N6" s="67"/>
      <c r="O6" s="43"/>
      <c r="P6" s="45"/>
      <c r="Q6" s="66"/>
      <c r="R6" s="66"/>
      <c r="S6" s="67"/>
      <c r="T6" s="89" t="s">
        <v>49</v>
      </c>
      <c r="U6" s="90"/>
      <c r="V6" s="90"/>
      <c r="W6" s="90"/>
      <c r="X6" s="90"/>
      <c r="Y6" s="91"/>
    </row>
    <row r="7" spans="1:25" ht="26.4" customHeight="1">
      <c r="A7" s="7" t="s">
        <v>15</v>
      </c>
      <c r="B7" s="44" t="s">
        <v>16</v>
      </c>
      <c r="C7" s="109">
        <f>+U13</f>
        <v>13500</v>
      </c>
      <c r="D7" s="110"/>
      <c r="E7" s="110"/>
      <c r="F7" s="110"/>
      <c r="G7" s="111"/>
      <c r="H7" s="43" t="s">
        <v>17</v>
      </c>
      <c r="I7" s="44"/>
      <c r="J7" s="64" t="s">
        <v>55</v>
      </c>
      <c r="K7" s="65"/>
      <c r="L7" s="66"/>
      <c r="M7" s="66"/>
      <c r="N7" s="67"/>
      <c r="O7" s="43"/>
      <c r="P7" s="45"/>
      <c r="Q7" s="66"/>
      <c r="R7" s="66"/>
      <c r="S7" s="67"/>
      <c r="T7" s="92"/>
      <c r="U7" s="158"/>
      <c r="V7" s="158"/>
      <c r="W7" s="158"/>
      <c r="X7" s="158"/>
      <c r="Y7" s="93"/>
    </row>
    <row r="8" spans="1:25" ht="26.4" customHeight="1" thickBot="1">
      <c r="A8" s="18"/>
      <c r="B8" s="47" t="s">
        <v>18</v>
      </c>
      <c r="C8" s="112">
        <v>46045</v>
      </c>
      <c r="D8" s="113"/>
      <c r="E8" s="113"/>
      <c r="F8" s="113"/>
      <c r="G8" s="114"/>
      <c r="H8" s="46" t="s">
        <v>19</v>
      </c>
      <c r="I8" s="47"/>
      <c r="J8" s="72" t="s">
        <v>71</v>
      </c>
      <c r="K8" s="68"/>
      <c r="L8" s="69"/>
      <c r="M8" s="69"/>
      <c r="N8" s="70"/>
      <c r="O8" s="46" t="s">
        <v>56</v>
      </c>
      <c r="P8" s="48"/>
      <c r="Q8" s="81">
        <v>1.1000000000000001</v>
      </c>
      <c r="R8" s="81"/>
      <c r="S8" s="82"/>
      <c r="T8" s="94"/>
      <c r="U8" s="95"/>
      <c r="V8" s="95"/>
      <c r="W8" s="95"/>
      <c r="X8" s="95"/>
      <c r="Y8" s="96"/>
    </row>
    <row r="9" spans="1:25">
      <c r="A9" s="130" t="s">
        <v>20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0"/>
      <c r="X9" s="131"/>
      <c r="Y9" s="132"/>
    </row>
    <row r="10" spans="1:25" ht="38.549999999999997" customHeight="1">
      <c r="A10" s="20" t="s">
        <v>37</v>
      </c>
      <c r="B10" s="21" t="s">
        <v>38</v>
      </c>
      <c r="C10" s="22" t="s">
        <v>45</v>
      </c>
      <c r="D10" s="23" t="s">
        <v>46</v>
      </c>
      <c r="E10" s="23" t="s">
        <v>47</v>
      </c>
      <c r="F10" s="24" t="s">
        <v>41</v>
      </c>
      <c r="G10" s="24" t="s">
        <v>51</v>
      </c>
      <c r="H10" s="24" t="s">
        <v>43</v>
      </c>
      <c r="I10" s="25" t="s">
        <v>21</v>
      </c>
      <c r="J10" s="27" t="s">
        <v>42</v>
      </c>
      <c r="K10" s="27" t="s">
        <v>22</v>
      </c>
      <c r="L10" s="27" t="s">
        <v>23</v>
      </c>
      <c r="M10" s="27" t="s">
        <v>24</v>
      </c>
      <c r="N10" s="27" t="s">
        <v>25</v>
      </c>
      <c r="O10" s="26" t="s">
        <v>26</v>
      </c>
      <c r="P10" s="30"/>
      <c r="Q10" s="30" t="s">
        <v>33</v>
      </c>
      <c r="R10" s="30" t="s">
        <v>34</v>
      </c>
      <c r="S10" s="30" t="s">
        <v>35</v>
      </c>
      <c r="T10" s="30" t="s">
        <v>36</v>
      </c>
      <c r="U10" s="28" t="s">
        <v>27</v>
      </c>
      <c r="V10" s="51" t="s">
        <v>28</v>
      </c>
      <c r="W10" s="52" t="s">
        <v>58</v>
      </c>
      <c r="X10" s="49" t="s">
        <v>59</v>
      </c>
      <c r="Y10" s="50" t="s">
        <v>60</v>
      </c>
    </row>
    <row r="11" spans="1:25" ht="105.6" customHeight="1">
      <c r="A11" s="144" t="str">
        <f>C3</f>
        <v>265T202-02</v>
      </c>
      <c r="B11" s="141" t="str">
        <f>C5</f>
        <v>S261240040</v>
      </c>
      <c r="C11" s="78" t="s">
        <v>48</v>
      </c>
      <c r="D11" s="78" t="s">
        <v>48</v>
      </c>
      <c r="E11" s="78" t="s">
        <v>48</v>
      </c>
      <c r="F11" s="29" t="s">
        <v>72</v>
      </c>
      <c r="G11" s="39" t="s">
        <v>61</v>
      </c>
      <c r="H11" s="76" t="s">
        <v>70</v>
      </c>
      <c r="I11" s="19" t="s">
        <v>74</v>
      </c>
      <c r="J11" s="57">
        <v>336</v>
      </c>
      <c r="K11" s="58">
        <v>790</v>
      </c>
      <c r="L11" s="58">
        <v>1856</v>
      </c>
      <c r="M11" s="58">
        <v>1767</v>
      </c>
      <c r="N11" s="58">
        <v>903</v>
      </c>
      <c r="O11" s="57">
        <v>263</v>
      </c>
      <c r="P11" s="58"/>
      <c r="Q11" s="58">
        <v>211</v>
      </c>
      <c r="R11" s="58">
        <v>441</v>
      </c>
      <c r="S11" s="58">
        <v>305</v>
      </c>
      <c r="T11" s="58">
        <v>128</v>
      </c>
      <c r="U11" s="56">
        <f t="shared" ref="U11:U12" si="0">SUM(J11:T11)</f>
        <v>7000</v>
      </c>
      <c r="V11" s="147">
        <f>C8</f>
        <v>46045</v>
      </c>
      <c r="W11" s="73">
        <v>0.08</v>
      </c>
      <c r="X11" s="74">
        <f t="shared" ref="X11" si="1">(((($Q$4/12)/1.1)*12)*1.08)</f>
        <v>9.3567272727272712</v>
      </c>
      <c r="Y11" s="75">
        <f t="shared" ref="Y11:Y12" si="2">(((($Q$5/12)/1.1)*12)*1.08)</f>
        <v>0.39567272727272729</v>
      </c>
    </row>
    <row r="12" spans="1:25" ht="105.6" customHeight="1">
      <c r="A12" s="145"/>
      <c r="B12" s="142"/>
      <c r="C12" s="78" t="s">
        <v>48</v>
      </c>
      <c r="D12" s="78" t="s">
        <v>48</v>
      </c>
      <c r="E12" s="78" t="s">
        <v>48</v>
      </c>
      <c r="F12" s="29" t="s">
        <v>73</v>
      </c>
      <c r="G12" s="39" t="s">
        <v>61</v>
      </c>
      <c r="H12" s="76" t="s">
        <v>70</v>
      </c>
      <c r="I12" s="19" t="s">
        <v>75</v>
      </c>
      <c r="J12" s="57">
        <v>344</v>
      </c>
      <c r="K12" s="58">
        <v>759</v>
      </c>
      <c r="L12" s="58">
        <v>1735</v>
      </c>
      <c r="M12" s="58">
        <v>1671</v>
      </c>
      <c r="N12" s="58">
        <v>878</v>
      </c>
      <c r="O12" s="57">
        <v>288</v>
      </c>
      <c r="P12" s="58"/>
      <c r="Q12" s="58">
        <v>160</v>
      </c>
      <c r="R12" s="58">
        <v>333</v>
      </c>
      <c r="S12" s="58">
        <v>233</v>
      </c>
      <c r="T12" s="58">
        <v>99</v>
      </c>
      <c r="U12" s="56">
        <f t="shared" si="0"/>
        <v>6500</v>
      </c>
      <c r="V12" s="148"/>
      <c r="W12" s="73">
        <v>0.08</v>
      </c>
      <c r="X12" s="74">
        <f>(((($Q$4/12)/1.1)*12)*1.08)</f>
        <v>9.3567272727272712</v>
      </c>
      <c r="Y12" s="75">
        <f t="shared" si="2"/>
        <v>0.39567272727272729</v>
      </c>
    </row>
    <row r="13" spans="1:25" ht="30" customHeight="1" thickBot="1">
      <c r="A13" s="146"/>
      <c r="B13" s="143"/>
      <c r="C13" s="133" t="s">
        <v>27</v>
      </c>
      <c r="D13" s="134"/>
      <c r="E13" s="134"/>
      <c r="F13" s="134"/>
      <c r="G13" s="134"/>
      <c r="H13" s="134"/>
      <c r="I13" s="135"/>
      <c r="J13" s="59">
        <f>SUM(J11:J12)</f>
        <v>680</v>
      </c>
      <c r="K13" s="59">
        <f>SUM(K11:K12)</f>
        <v>1549</v>
      </c>
      <c r="L13" s="59">
        <f>SUM(L11:L12)</f>
        <v>3591</v>
      </c>
      <c r="M13" s="59">
        <f>SUM(M11:M12)</f>
        <v>3438</v>
      </c>
      <c r="N13" s="59">
        <f>SUM(N11:N12)</f>
        <v>1781</v>
      </c>
      <c r="O13" s="59">
        <f>SUM(O11:O12)</f>
        <v>551</v>
      </c>
      <c r="P13" s="59">
        <f>SUM(P11:P12)</f>
        <v>0</v>
      </c>
      <c r="Q13" s="59">
        <f>SUM(Q11:Q12)</f>
        <v>371</v>
      </c>
      <c r="R13" s="59">
        <f>SUM(R11:R12)</f>
        <v>774</v>
      </c>
      <c r="S13" s="59">
        <f>SUM(S11:S12)</f>
        <v>538</v>
      </c>
      <c r="T13" s="59">
        <f>SUM(T11:T12)</f>
        <v>227</v>
      </c>
      <c r="U13" s="77">
        <f>SUM(U11:U12)</f>
        <v>13500</v>
      </c>
      <c r="V13" s="149"/>
      <c r="W13" s="53"/>
      <c r="X13" s="54"/>
      <c r="Y13" s="55"/>
    </row>
    <row r="14" spans="1:25" ht="15" thickBot="1">
      <c r="A14" s="136" t="s">
        <v>29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8"/>
      <c r="S14" s="136" t="s">
        <v>30</v>
      </c>
      <c r="T14" s="137"/>
      <c r="U14" s="137"/>
      <c r="V14" s="137"/>
      <c r="W14" s="139"/>
      <c r="X14" s="139"/>
      <c r="Y14" s="140"/>
    </row>
    <row r="15" spans="1:25" ht="39.7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122" t="s">
        <v>69</v>
      </c>
      <c r="T15" s="123"/>
      <c r="U15" s="123"/>
      <c r="V15" s="123"/>
      <c r="W15" s="123"/>
      <c r="X15" s="123"/>
      <c r="Y15" s="124"/>
    </row>
    <row r="16" spans="1:25" ht="39.75" customHeight="1">
      <c r="A16" s="31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25"/>
      <c r="T16" s="160"/>
      <c r="U16" s="160"/>
      <c r="V16" s="160"/>
      <c r="W16" s="160"/>
      <c r="X16" s="160"/>
      <c r="Y16" s="126"/>
    </row>
    <row r="17" spans="1:25" ht="39.75" customHeight="1">
      <c r="A17" s="31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25"/>
      <c r="T17" s="160"/>
      <c r="U17" s="160"/>
      <c r="V17" s="160"/>
      <c r="W17" s="160"/>
      <c r="X17" s="160"/>
      <c r="Y17" s="126"/>
    </row>
    <row r="18" spans="1:25" ht="39.75" customHeight="1">
      <c r="A18" s="31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25"/>
      <c r="T18" s="160"/>
      <c r="U18" s="160"/>
      <c r="V18" s="160"/>
      <c r="W18" s="160"/>
      <c r="X18" s="160"/>
      <c r="Y18" s="126"/>
    </row>
    <row r="19" spans="1:25" ht="48" customHeight="1">
      <c r="A19" s="31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25"/>
      <c r="T19" s="160"/>
      <c r="U19" s="160"/>
      <c r="V19" s="160"/>
      <c r="W19" s="160"/>
      <c r="X19" s="160"/>
      <c r="Y19" s="126"/>
    </row>
    <row r="20" spans="1:25" ht="39.75" customHeight="1">
      <c r="A20" s="31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25"/>
      <c r="T20" s="160"/>
      <c r="U20" s="160"/>
      <c r="V20" s="160"/>
      <c r="W20" s="160"/>
      <c r="X20" s="160"/>
      <c r="Y20" s="126"/>
    </row>
    <row r="21" spans="1:25" ht="39.75" customHeight="1">
      <c r="A21" s="31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25"/>
      <c r="T21" s="160"/>
      <c r="U21" s="160"/>
      <c r="V21" s="160"/>
      <c r="W21" s="160"/>
      <c r="X21" s="160"/>
      <c r="Y21" s="126"/>
    </row>
    <row r="22" spans="1:25" ht="39.75" customHeight="1">
      <c r="A22" s="31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25"/>
      <c r="T22" s="160"/>
      <c r="U22" s="160"/>
      <c r="V22" s="160"/>
      <c r="W22" s="160"/>
      <c r="X22" s="160"/>
      <c r="Y22" s="126"/>
    </row>
    <row r="23" spans="1:25" ht="39.75" customHeight="1">
      <c r="A23" s="31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25"/>
      <c r="T23" s="160"/>
      <c r="U23" s="160"/>
      <c r="V23" s="160"/>
      <c r="W23" s="160"/>
      <c r="X23" s="160"/>
      <c r="Y23" s="126"/>
    </row>
    <row r="24" spans="1:25" ht="65.400000000000006" customHeight="1" thickBot="1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27"/>
      <c r="T24" s="128"/>
      <c r="U24" s="128"/>
      <c r="V24" s="128"/>
      <c r="W24" s="128"/>
      <c r="X24" s="128"/>
      <c r="Y24" s="129"/>
    </row>
    <row r="25" spans="1:25" ht="16.2" thickBot="1">
      <c r="A25" s="155" t="s">
        <v>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7"/>
      <c r="S25" s="155" t="s">
        <v>32</v>
      </c>
      <c r="T25" s="156"/>
      <c r="U25" s="156"/>
      <c r="V25" s="156"/>
      <c r="W25" s="156"/>
      <c r="X25" s="156"/>
      <c r="Y25" s="157"/>
    </row>
    <row r="26" spans="1:25" ht="78" customHeight="1">
      <c r="A26" s="31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0" t="s">
        <v>39</v>
      </c>
      <c r="T26" s="151"/>
      <c r="U26" s="151"/>
      <c r="V26" s="151"/>
      <c r="W26" s="151"/>
      <c r="X26" s="151"/>
      <c r="Y26" s="152"/>
    </row>
    <row r="27" spans="1:25" ht="106.5" customHeight="1">
      <c r="A27" s="31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79" t="s">
        <v>76</v>
      </c>
      <c r="T27" s="161"/>
      <c r="U27" s="161"/>
      <c r="V27" s="161"/>
      <c r="W27" s="161"/>
      <c r="X27" s="161"/>
      <c r="Y27" s="80"/>
    </row>
    <row r="28" spans="1:25" ht="78" customHeight="1">
      <c r="A28" s="31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79"/>
      <c r="T28" s="161"/>
      <c r="U28" s="161"/>
      <c r="V28" s="161"/>
      <c r="W28" s="161"/>
      <c r="X28" s="161"/>
      <c r="Y28" s="80"/>
    </row>
    <row r="29" spans="1:25" ht="78" customHeight="1">
      <c r="A29" s="31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79" t="s">
        <v>77</v>
      </c>
      <c r="T29" s="161"/>
      <c r="U29" s="161"/>
      <c r="V29" s="161"/>
      <c r="W29" s="161"/>
      <c r="X29" s="161"/>
      <c r="Y29" s="80"/>
    </row>
    <row r="30" spans="1:25" ht="78" customHeight="1">
      <c r="A30" s="31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79"/>
      <c r="T30" s="161"/>
      <c r="U30" s="161"/>
      <c r="V30" s="161"/>
      <c r="W30" s="161"/>
      <c r="X30" s="161"/>
      <c r="Y30" s="80"/>
    </row>
    <row r="31" spans="1:25" ht="78" customHeight="1">
      <c r="A31" s="31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79"/>
      <c r="T31" s="161"/>
      <c r="U31" s="161"/>
      <c r="V31" s="161"/>
      <c r="W31" s="161"/>
      <c r="X31" s="161"/>
      <c r="Y31" s="80"/>
    </row>
    <row r="32" spans="1:25" ht="78" customHeight="1">
      <c r="A32" s="31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79" t="s">
        <v>78</v>
      </c>
      <c r="T32" s="161"/>
      <c r="U32" s="161"/>
      <c r="V32" s="161"/>
      <c r="W32" s="161"/>
      <c r="X32" s="161"/>
      <c r="Y32" s="80"/>
    </row>
    <row r="33" spans="1:25" ht="45.6" customHeight="1">
      <c r="A33" s="31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79"/>
      <c r="T33" s="161"/>
      <c r="U33" s="161"/>
      <c r="V33" s="161"/>
      <c r="W33" s="161"/>
      <c r="X33" s="161"/>
      <c r="Y33" s="80"/>
    </row>
    <row r="34" spans="1:25" ht="78" customHeight="1">
      <c r="A34" s="31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25" t="s">
        <v>79</v>
      </c>
      <c r="T34" s="160"/>
      <c r="U34" s="160"/>
      <c r="V34" s="160"/>
      <c r="W34" s="160"/>
      <c r="X34" s="160"/>
      <c r="Y34" s="126"/>
    </row>
    <row r="35" spans="1:25" ht="78" customHeight="1">
      <c r="A35" s="3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25"/>
      <c r="T35" s="160"/>
      <c r="U35" s="160"/>
      <c r="V35" s="160"/>
      <c r="W35" s="160"/>
      <c r="X35" s="160"/>
      <c r="Y35" s="126"/>
    </row>
    <row r="36" spans="1:25" ht="78" customHeight="1">
      <c r="A36" s="3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37"/>
      <c r="T36" s="162"/>
      <c r="U36" s="162"/>
      <c r="V36" s="162"/>
      <c r="W36" s="162"/>
      <c r="X36" s="162"/>
      <c r="Y36" s="38"/>
    </row>
    <row r="37" spans="1:25" ht="109.8" customHeight="1" thickBot="1">
      <c r="A37" s="31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3"/>
      <c r="T37" s="163"/>
      <c r="U37" s="163"/>
      <c r="V37" s="163"/>
      <c r="W37" s="163"/>
      <c r="X37" s="163"/>
      <c r="Y37" s="154"/>
    </row>
    <row r="38" spans="1:25" ht="30" customHeight="1" thickBot="1">
      <c r="A38" s="116" t="s">
        <v>50</v>
      </c>
      <c r="B38" s="117"/>
      <c r="C38" s="117"/>
      <c r="D38" s="118"/>
      <c r="E38" s="119" t="s">
        <v>62</v>
      </c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1"/>
    </row>
    <row r="52" ht="10.95" customHeight="1"/>
  </sheetData>
  <dataConsolidate/>
  <mergeCells count="34">
    <mergeCell ref="A38:D38"/>
    <mergeCell ref="E38:Y38"/>
    <mergeCell ref="S15:Y24"/>
    <mergeCell ref="A9:V9"/>
    <mergeCell ref="W9:Y9"/>
    <mergeCell ref="C13:I13"/>
    <mergeCell ref="A14:R14"/>
    <mergeCell ref="S14:Y14"/>
    <mergeCell ref="B11:B13"/>
    <mergeCell ref="A11:A13"/>
    <mergeCell ref="V11:V13"/>
    <mergeCell ref="S26:Y26"/>
    <mergeCell ref="S37:Y37"/>
    <mergeCell ref="S25:Y25"/>
    <mergeCell ref="S34:Y35"/>
    <mergeCell ref="A25:R25"/>
    <mergeCell ref="U1:Y1"/>
    <mergeCell ref="A1:T1"/>
    <mergeCell ref="X3:Y3"/>
    <mergeCell ref="T6:Y8"/>
    <mergeCell ref="C3:G3"/>
    <mergeCell ref="H3:N3"/>
    <mergeCell ref="O3:S3"/>
    <mergeCell ref="C4:G4"/>
    <mergeCell ref="Q4:R4"/>
    <mergeCell ref="C7:G7"/>
    <mergeCell ref="C8:G8"/>
    <mergeCell ref="C5:G5"/>
    <mergeCell ref="Q5:R5"/>
    <mergeCell ref="C6:G6"/>
    <mergeCell ref="S29:Y31"/>
    <mergeCell ref="S27:Y28"/>
    <mergeCell ref="S32:Y33"/>
    <mergeCell ref="Q8:S8"/>
  </mergeCells>
  <phoneticPr fontId="11" type="noConversion"/>
  <printOptions horizontalCentered="1"/>
  <pageMargins left="0.37" right="0" top="0.5" bottom="0.27" header="0" footer="0"/>
  <pageSetup scale="34" orientation="portrait" r:id="rId1"/>
  <rowBreaks count="1" manualBreakCount="1">
    <brk id="38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Park - INT</dc:creator>
  <cp:lastModifiedBy>USER - INT</cp:lastModifiedBy>
  <cp:lastPrinted>2025-10-31T22:36:20Z</cp:lastPrinted>
  <dcterms:created xsi:type="dcterms:W3CDTF">2021-12-09T03:25:56Z</dcterms:created>
  <dcterms:modified xsi:type="dcterms:W3CDTF">2025-10-31T22:44:11Z</dcterms:modified>
</cp:coreProperties>
</file>