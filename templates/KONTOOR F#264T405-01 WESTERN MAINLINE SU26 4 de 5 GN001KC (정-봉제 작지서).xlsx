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parellinkssa-my.sharepoint.com/personal/joanne_delgado_apparellinks_net/Documents/TEAM 4/02 KONTOOR/007. ORDEN DE TRABAJO/264T405-01/"/>
    </mc:Choice>
  </mc:AlternateContent>
  <xr:revisionPtr revIDLastSave="30" documentId="8_{6D42B180-8591-40A4-B9C7-3DC9B09B20F7}" xr6:coauthVersionLast="47" xr6:coauthVersionMax="47" xr10:uidLastSave="{726C9674-09E6-4BDD-9759-949C03FDB98A}"/>
  <bookViews>
    <workbookView xWindow="-110" yWindow="-110" windowWidth="25820" windowHeight="15500" xr2:uid="{B7A3272A-47EA-418A-9C30-5BE2005A827F}"/>
  </bookViews>
  <sheets>
    <sheet name="Sheet1" sheetId="1" r:id="rId1"/>
  </sheets>
  <definedNames>
    <definedName name="_xlnm.Print_Area" localSheetId="0">Sheet1!$A$1:$R$99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1" l="1"/>
  <c r="A99" i="1"/>
  <c r="A98" i="1"/>
  <c r="A97" i="1"/>
  <c r="A96" i="1"/>
  <c r="D99" i="1"/>
  <c r="C99" i="1"/>
  <c r="B99" i="1"/>
  <c r="C98" i="1"/>
  <c r="B98" i="1"/>
  <c r="C97" i="1"/>
  <c r="C96" i="1"/>
  <c r="D97" i="1"/>
  <c r="B97" i="1"/>
  <c r="D96" i="1"/>
  <c r="B96" i="1"/>
  <c r="L20" i="1"/>
  <c r="L27" i="1" s="1"/>
  <c r="K20" i="1"/>
  <c r="J20" i="1"/>
  <c r="I20" i="1"/>
  <c r="H20" i="1"/>
  <c r="G20" i="1"/>
  <c r="F20" i="1"/>
  <c r="H27" i="1"/>
  <c r="L26" i="1"/>
  <c r="K26" i="1"/>
  <c r="J26" i="1"/>
  <c r="J27" i="1" s="1"/>
  <c r="I26" i="1"/>
  <c r="I27" i="1" s="1"/>
  <c r="H26" i="1"/>
  <c r="G26" i="1"/>
  <c r="F26" i="1"/>
  <c r="M25" i="1"/>
  <c r="E25" i="1"/>
  <c r="M24" i="1"/>
  <c r="E24" i="1"/>
  <c r="K27" i="1" l="1"/>
  <c r="M26" i="1"/>
  <c r="F27" i="1"/>
  <c r="G27" i="1"/>
  <c r="E17" i="1"/>
  <c r="M17" i="1"/>
  <c r="E18" i="1"/>
  <c r="M18" i="1"/>
  <c r="E19" i="1"/>
  <c r="M19" i="1"/>
  <c r="A95" i="1"/>
  <c r="B95" i="1"/>
  <c r="C95" i="1"/>
  <c r="D95" i="1"/>
  <c r="D98" i="1"/>
  <c r="D94" i="1"/>
  <c r="D93" i="1"/>
  <c r="D92" i="1"/>
  <c r="D91" i="1"/>
  <c r="E16" i="1"/>
  <c r="M16" i="1"/>
  <c r="A94" i="1"/>
  <c r="B94" i="1"/>
  <c r="C94" i="1"/>
  <c r="E15" i="1" l="1"/>
  <c r="M15" i="1"/>
  <c r="E14" i="1" l="1"/>
  <c r="M14" i="1"/>
  <c r="A92" i="1"/>
  <c r="B92" i="1"/>
  <c r="C92" i="1"/>
  <c r="A93" i="1"/>
  <c r="B93" i="1"/>
  <c r="C93" i="1"/>
  <c r="E13" i="1"/>
  <c r="C91" i="1"/>
  <c r="B91" i="1"/>
  <c r="A91" i="1"/>
  <c r="F11" i="1"/>
  <c r="M13" i="1"/>
  <c r="M20" i="1" l="1"/>
  <c r="M27" i="1" s="1"/>
  <c r="C8" i="1"/>
</calcChain>
</file>

<file path=xl/sharedStrings.xml><?xml version="1.0" encoding="utf-8"?>
<sst xmlns="http://schemas.openxmlformats.org/spreadsheetml/2006/main" count="254" uniqueCount="153">
  <si>
    <t>FILE NO.</t>
  </si>
  <si>
    <t>담당</t>
  </si>
  <si>
    <t>팀장</t>
  </si>
  <si>
    <t>부서장</t>
  </si>
  <si>
    <t>BUYER</t>
  </si>
  <si>
    <t>FABRIC NO. 1</t>
    <phoneticPr fontId="0" type="noConversion"/>
  </si>
  <si>
    <t>STYLE #</t>
  </si>
  <si>
    <t>FABRIC NO. 2</t>
  </si>
  <si>
    <t>PO NO.</t>
  </si>
  <si>
    <t>VARIOUS</t>
  </si>
  <si>
    <t>TYPE</t>
    <phoneticPr fontId="0" type="noConversion"/>
  </si>
  <si>
    <t>SINGLE JERSEY / 1X1 RIB</t>
    <phoneticPr fontId="0" type="noConversion"/>
  </si>
  <si>
    <t>WEIGHT</t>
  </si>
  <si>
    <t>BODY WIDTH</t>
  </si>
  <si>
    <t>APPAREL LINKS, S.A.</t>
  </si>
  <si>
    <t>Q'TY(PCS)</t>
  </si>
  <si>
    <t>Calzada Roosevelt Edificio Tikal Futura Torre Sol, Nivel 16, 22-43 Zona 11 Guatemala, C.A.</t>
  </si>
  <si>
    <t>DELIVERY</t>
  </si>
  <si>
    <t>ITEM</t>
  </si>
  <si>
    <t>4. CONSUMPTION</t>
  </si>
  <si>
    <t>DATE:</t>
  </si>
  <si>
    <t>PO#</t>
    <phoneticPr fontId="0" type="noConversion"/>
  </si>
  <si>
    <t>COLOR</t>
  </si>
  <si>
    <t>ART</t>
  </si>
  <si>
    <t>EX-FAC</t>
  </si>
  <si>
    <t>S</t>
  </si>
  <si>
    <t>M</t>
  </si>
  <si>
    <t>L</t>
  </si>
  <si>
    <t>XL</t>
  </si>
  <si>
    <t>XXL</t>
  </si>
  <si>
    <t>XXXL</t>
  </si>
  <si>
    <t>TOTAL</t>
  </si>
  <si>
    <t>1. BODY</t>
  </si>
  <si>
    <t>2. RIB</t>
  </si>
  <si>
    <t>REMARK</t>
  </si>
  <si>
    <t>PRINT</t>
  </si>
  <si>
    <t>TOL</t>
  </si>
  <si>
    <t>(+ -)</t>
  </si>
  <si>
    <t>CHST</t>
  </si>
  <si>
    <t>CHEST - CIRCUMFERENCE</t>
  </si>
  <si>
    <t>SWEP</t>
  </si>
  <si>
    <t>SWEEP - CIRCUMFERENCE</t>
  </si>
  <si>
    <t>FLHP</t>
  </si>
  <si>
    <t>FRONT LENGTH TO HPS</t>
  </si>
  <si>
    <t>BLHP</t>
  </si>
  <si>
    <t>BACK LENGTH TO HPS</t>
  </si>
  <si>
    <t>SHLD</t>
  </si>
  <si>
    <t>WIDTH AT NATURAL SHOULDER - SEAM TO SEAM</t>
  </si>
  <si>
    <t>ARMS</t>
  </si>
  <si>
    <t>ARMHOLE STRAIGHT</t>
  </si>
  <si>
    <t>LGSS</t>
  </si>
  <si>
    <t>SHORT SLEEVE LENGTH FROM CENTER BACK</t>
  </si>
  <si>
    <t>SLSS</t>
  </si>
  <si>
    <t>SHORT SLEEVE OPENING</t>
  </si>
  <si>
    <t>NKWS</t>
  </si>
  <si>
    <t>NECK WIDTH - SEAM TO SEAM</t>
  </si>
  <si>
    <t>FNDH</t>
  </si>
  <si>
    <t>FRONT NECK DROP FROM HPS</t>
  </si>
  <si>
    <t>BNDR</t>
  </si>
  <si>
    <t>BACK NECK DROP</t>
  </si>
  <si>
    <t>AKFX</t>
  </si>
  <si>
    <t>ACROSS FRT PLCMNT - VALUE (INCHES) FOR "X"</t>
  </si>
  <si>
    <t>AKFR</t>
  </si>
  <si>
    <t>ACROSS FRONT POSITION FROM HPS</t>
  </si>
  <si>
    <t>AKBX</t>
  </si>
  <si>
    <t>ACROSS BACK PLCMNT - VALUE (INCHES) FOR "X"</t>
  </si>
  <si>
    <t>AKBK</t>
  </si>
  <si>
    <t>ACROSS BACK POSITION FROM HPS</t>
  </si>
  <si>
    <t>5. MEASUREMENT SPECIFICATION</t>
  </si>
  <si>
    <t>KONTOOR</t>
  </si>
  <si>
    <t>POM</t>
  </si>
  <si>
    <t>DESCRIPTION</t>
  </si>
  <si>
    <t>2. FABRIC</t>
  </si>
  <si>
    <t>SIGNATURES</t>
  </si>
  <si>
    <t>FACTORY INFO.</t>
  </si>
  <si>
    <t>위탁자</t>
  </si>
  <si>
    <t>PAD PRINT</t>
  </si>
  <si>
    <t>7. WORK PROCESS</t>
  </si>
  <si>
    <t>COSTURA</t>
  </si>
  <si>
    <t>EMPAQUE</t>
  </si>
  <si>
    <r>
      <rPr>
        <b/>
        <sz val="26"/>
        <color theme="1"/>
        <rFont val="Calibri"/>
        <family val="2"/>
      </rPr>
      <t xml:space="preserve">1. CUELLO (5/8"): </t>
    </r>
    <r>
      <rPr>
        <sz val="26"/>
        <color theme="1"/>
        <rFont val="Calibri"/>
        <family val="2"/>
      </rPr>
      <t>LLEVA 1X1 RIB 5/8" /</t>
    </r>
    <r>
      <rPr>
        <b/>
        <sz val="26"/>
        <color rgb="FFFF0000"/>
        <rFont val="Calibri"/>
        <family val="2"/>
      </rPr>
      <t xml:space="preserve"> NO SOBRECOSTURA</t>
    </r>
  </si>
  <si>
    <r>
      <rPr>
        <b/>
        <sz val="26"/>
        <color theme="1"/>
        <rFont val="Calibri"/>
        <family val="2"/>
      </rPr>
      <t xml:space="preserve">2. PAD PRINT LABEL: </t>
    </r>
    <r>
      <rPr>
        <sz val="26"/>
        <color theme="1"/>
        <rFont val="Calibri"/>
        <family val="2"/>
      </rPr>
      <t>1/2" CENTER BACK</t>
    </r>
  </si>
  <si>
    <r>
      <t xml:space="preserve">4. RUEDO DE FONDO Y MANGA (3/4"): </t>
    </r>
    <r>
      <rPr>
        <sz val="26"/>
        <color theme="1"/>
        <rFont val="Calibri"/>
        <family val="2"/>
      </rPr>
      <t>DNTS 2N 1/4"</t>
    </r>
  </si>
  <si>
    <r>
      <rPr>
        <b/>
        <sz val="26"/>
        <color theme="1"/>
        <rFont val="Calibri"/>
        <family val="2"/>
      </rPr>
      <t xml:space="preserve">3. HANG TAG: </t>
    </r>
    <r>
      <rPr>
        <sz val="26"/>
        <color theme="1"/>
        <rFont val="Calibri"/>
        <family val="2"/>
      </rPr>
      <t xml:space="preserve"> UTILIZAR 3" CLEAR TAG PIN (BOCA MANGA IZQUIERDO DEL USADOR)</t>
    </r>
  </si>
  <si>
    <r>
      <t xml:space="preserve">3. CARE LABEL: </t>
    </r>
    <r>
      <rPr>
        <sz val="26"/>
        <color theme="1"/>
        <rFont val="Calibri"/>
        <family val="2"/>
      </rPr>
      <t>3" DESDE RUEDO (IZQUIERDO DEL USADOR) - INFORMACION VARIABLE</t>
    </r>
  </si>
  <si>
    <r>
      <rPr>
        <b/>
        <sz val="26"/>
        <color theme="1"/>
        <rFont val="Calibri"/>
        <family val="2"/>
      </rPr>
      <t xml:space="preserve">4. HANGER BAG: </t>
    </r>
    <r>
      <rPr>
        <sz val="26"/>
        <color theme="1"/>
        <rFont val="Calibri"/>
        <family val="2"/>
      </rPr>
      <t>20" X 16" PARA TODAS LAS TALLAS</t>
    </r>
  </si>
  <si>
    <r>
      <t xml:space="preserve">5. CARTON: </t>
    </r>
    <r>
      <rPr>
        <sz val="26"/>
        <color theme="1"/>
        <rFont val="Calibri"/>
        <family val="2"/>
      </rPr>
      <t>13" X 20" X 13"/07" - DOS FILAS - UPC SE TIENE QUE VER AL ABRIR LA CAJA</t>
    </r>
  </si>
  <si>
    <r>
      <t xml:space="preserve">6. POSICION DE STICKER DE CARTON: </t>
    </r>
    <r>
      <rPr>
        <sz val="26"/>
        <color theme="1"/>
        <rFont val="Calibri"/>
        <family val="2"/>
      </rPr>
      <t>3/4" DESDEL LADO DERECHO Y 1/2" DESDEL FONDO</t>
    </r>
  </si>
  <si>
    <t>RIB WIDTH</t>
  </si>
  <si>
    <t>1. INFORMACION GENERAL</t>
  </si>
  <si>
    <t>수탁 공장명</t>
  </si>
  <si>
    <r>
      <rPr>
        <b/>
        <sz val="22"/>
        <rFont val="Calibri"/>
        <family val="2"/>
      </rPr>
      <t>MADE BY:</t>
    </r>
    <r>
      <rPr>
        <sz val="22"/>
        <rFont val="Calibri"/>
        <family val="2"/>
      </rPr>
      <t xml:space="preserve"> LUCCIANO PARK</t>
    </r>
  </si>
  <si>
    <t>DETALLES DE ACCESORIOS</t>
  </si>
  <si>
    <t>HANGER</t>
  </si>
  <si>
    <t>SIZER</t>
  </si>
  <si>
    <t>HANG TAG</t>
  </si>
  <si>
    <t>SIZE STRIP</t>
  </si>
  <si>
    <t>UPC STICKER</t>
  </si>
  <si>
    <t>LABOR COST</t>
  </si>
  <si>
    <t>BOLSA</t>
  </si>
  <si>
    <r>
      <t xml:space="preserve">CORTE&gt;
</t>
    </r>
    <r>
      <rPr>
        <b/>
        <sz val="18"/>
        <color rgb="FFFF0000"/>
        <rFont val="Calibri"/>
        <family val="2"/>
      </rPr>
      <t>CONFECCION</t>
    </r>
    <r>
      <rPr>
        <sz val="18"/>
        <color rgb="FF000000"/>
        <rFont val="Calibri"/>
        <family val="2"/>
      </rPr>
      <t>&gt;
SERIGRAFIA&gt; EMPAQUE</t>
    </r>
  </si>
  <si>
    <t>CVC (50/50) 30S'1</t>
  </si>
  <si>
    <t>3. COLOR / SIZE   별 수량</t>
  </si>
  <si>
    <t>XS</t>
  </si>
  <si>
    <t>264T405-01</t>
  </si>
  <si>
    <t>GN001KC</t>
  </si>
  <si>
    <t>WESTERN MAINLINE SU26</t>
  </si>
  <si>
    <t>TBD</t>
  </si>
  <si>
    <r>
      <rPr>
        <b/>
        <sz val="22"/>
        <rFont val="Calibri"/>
        <family val="2"/>
      </rPr>
      <t xml:space="preserve">JET BLACK
</t>
    </r>
    <r>
      <rPr>
        <sz val="22"/>
        <rFont val="Calibri"/>
        <family val="2"/>
      </rPr>
      <t>CM30S'1 100% COTTON</t>
    </r>
  </si>
  <si>
    <r>
      <t xml:space="preserve">TRENCHCOAT HEATHER
</t>
    </r>
    <r>
      <rPr>
        <sz val="22"/>
        <rFont val="Calibri"/>
        <family val="2"/>
      </rPr>
      <t>CVC (50/50) 30S'1</t>
    </r>
  </si>
  <si>
    <r>
      <t xml:space="preserve">TRAVERTINE HEATHER
</t>
    </r>
    <r>
      <rPr>
        <sz val="22"/>
        <rFont val="Calibri"/>
        <family val="2"/>
      </rPr>
      <t>CVC (50/50) 30S'1</t>
    </r>
  </si>
  <si>
    <t>GN001KC (WASHED)</t>
  </si>
  <si>
    <r>
      <rPr>
        <b/>
        <sz val="22"/>
        <rFont val="Calibri"/>
        <family val="2"/>
      </rPr>
      <t xml:space="preserve">OIL BLUE
</t>
    </r>
    <r>
      <rPr>
        <sz val="22"/>
        <rFont val="Calibri"/>
        <family val="2"/>
      </rPr>
      <t>CM30S'1 100% COTTON</t>
    </r>
  </si>
  <si>
    <t>GRAND TOTAL</t>
  </si>
  <si>
    <r>
      <t xml:space="preserve">
*** CARE LABEL TIENE INFORMACION VARIABLE, POR FAVOR PONER ATENCION SOBRE ESA INFORMACION***
</t>
    </r>
    <r>
      <rPr>
        <b/>
        <sz val="18"/>
        <color rgb="FFFF0000"/>
        <rFont val="Calibri"/>
        <family val="2"/>
      </rPr>
      <t>***TOP: M 2PCS***</t>
    </r>
  </si>
  <si>
    <t>WSXX</t>
  </si>
  <si>
    <t>WAIST - POSITION FORM HPS</t>
  </si>
  <si>
    <t>WSHS</t>
  </si>
  <si>
    <t>WAIST - VALUE (INCHES) FOR WSXX</t>
  </si>
  <si>
    <t>SSMC</t>
  </si>
  <si>
    <t>SHORT SLEEVE MUSCLE - 1" DOWN</t>
  </si>
  <si>
    <t>5/8</t>
  </si>
  <si>
    <t>3/4</t>
  </si>
  <si>
    <r>
      <rPr>
        <b/>
        <sz val="22"/>
        <rFont val="Calibri"/>
        <family val="2"/>
      </rPr>
      <t xml:space="preserve">JET BLACK
</t>
    </r>
    <r>
      <rPr>
        <sz val="22"/>
        <color theme="3" tint="0.499984740745262"/>
        <rFont val="Calibri"/>
        <family val="2"/>
      </rPr>
      <t>CM30S'1 100% COTTON</t>
    </r>
  </si>
  <si>
    <r>
      <t xml:space="preserve">EGRET
</t>
    </r>
    <r>
      <rPr>
        <sz val="22"/>
        <color theme="5"/>
        <rFont val="Calibri"/>
        <family val="2"/>
      </rPr>
      <t>CM20S'1 100% COTTON</t>
    </r>
  </si>
  <si>
    <r>
      <t xml:space="preserve">ANTIQUE WHITE
</t>
    </r>
    <r>
      <rPr>
        <sz val="22"/>
        <color theme="5"/>
        <rFont val="Calibri"/>
        <family val="2"/>
      </rPr>
      <t>CM20S'1 100% COTTON</t>
    </r>
  </si>
  <si>
    <r>
      <t xml:space="preserve">JET BLACK
</t>
    </r>
    <r>
      <rPr>
        <sz val="22"/>
        <color theme="3" tint="0.499984740745262"/>
        <rFont val="Calibri"/>
        <family val="2"/>
      </rPr>
      <t>CM30S'1 100% COTTON</t>
    </r>
  </si>
  <si>
    <r>
      <t xml:space="preserve">CORTE&gt;
</t>
    </r>
    <r>
      <rPr>
        <b/>
        <sz val="18"/>
        <color rgb="FFFF0000"/>
        <rFont val="Calibri"/>
        <family val="2"/>
      </rPr>
      <t>CONFECCION</t>
    </r>
    <r>
      <rPr>
        <sz val="18"/>
        <color rgb="FF000000"/>
        <rFont val="Calibri"/>
        <family val="2"/>
      </rPr>
      <t>&gt;
LAVADO&gt;
SERIGRAFIA&gt; EMPAQUE</t>
    </r>
  </si>
  <si>
    <t>CM 30S'1 100% COTTON / CM20S'1 100% COTTON</t>
  </si>
  <si>
    <t>N/A</t>
  </si>
  <si>
    <t>POLYBAG</t>
  </si>
  <si>
    <t>WHITE</t>
  </si>
  <si>
    <t>GREY</t>
  </si>
  <si>
    <t>TRINIDAD APPAREL, S.A.</t>
  </si>
  <si>
    <r>
      <t xml:space="preserve">PEOPLE&amp;ART PRINT
</t>
    </r>
    <r>
      <rPr>
        <sz val="18"/>
        <color rgb="FF000000"/>
        <rFont val="Calibri"/>
        <family val="2"/>
      </rPr>
      <t>(DELANTERA Y TRASERA)</t>
    </r>
  </si>
  <si>
    <r>
      <rPr>
        <b/>
        <sz val="18"/>
        <color rgb="FF000000"/>
        <rFont val="Calibri"/>
        <family val="2"/>
      </rPr>
      <t>PEOPLE&amp;ART PRINT</t>
    </r>
    <r>
      <rPr>
        <sz val="18"/>
        <color rgb="FF000000"/>
        <rFont val="Calibri"/>
        <family val="2"/>
      </rPr>
      <t xml:space="preserve">
(DELANTERA Y TRASERA)</t>
    </r>
  </si>
  <si>
    <r>
      <t xml:space="preserve">ARTWELL PRINT
</t>
    </r>
    <r>
      <rPr>
        <sz val="18"/>
        <color rgb="FF000000"/>
        <rFont val="Calibri"/>
        <family val="2"/>
      </rPr>
      <t>(DELANTERA)</t>
    </r>
  </si>
  <si>
    <r>
      <t xml:space="preserve">JOA PRINT
</t>
    </r>
    <r>
      <rPr>
        <sz val="18"/>
        <color rgb="FF000000"/>
        <rFont val="Calibri"/>
        <family val="2"/>
      </rPr>
      <t>(DELANTERA Y TRASERA)</t>
    </r>
  </si>
  <si>
    <r>
      <t xml:space="preserve">PEOPLE&amp;ART PRINT
</t>
    </r>
    <r>
      <rPr>
        <sz val="18"/>
        <color rgb="FF000000"/>
        <rFont val="Calibri"/>
        <family val="2"/>
      </rPr>
      <t>(DELANTERA)</t>
    </r>
  </si>
  <si>
    <r>
      <t xml:space="preserve">ARTWELL PRINT
</t>
    </r>
    <r>
      <rPr>
        <sz val="18"/>
        <color rgb="FF000000"/>
        <rFont val="Calibri"/>
        <family val="2"/>
      </rPr>
      <t xml:space="preserve">(DELANTERA Y TRASERA)
</t>
    </r>
    <r>
      <rPr>
        <b/>
        <sz val="18"/>
        <color rgb="FF000000"/>
        <rFont val="Calibri"/>
        <family val="2"/>
      </rPr>
      <t xml:space="preserve">KIMS GLOBAL
</t>
    </r>
    <r>
      <rPr>
        <sz val="18"/>
        <color rgb="FF000000"/>
        <rFont val="Calibri"/>
        <family val="2"/>
      </rPr>
      <t>(NEO MINERAL WASH</t>
    </r>
  </si>
  <si>
    <r>
      <rPr>
        <b/>
        <sz val="26"/>
        <color theme="1"/>
        <rFont val="Calibri"/>
        <family val="2"/>
      </rPr>
      <t>1. FOLDING:</t>
    </r>
    <r>
      <rPr>
        <sz val="26"/>
        <color theme="1"/>
        <rFont val="Calibri"/>
        <family val="2"/>
      </rPr>
      <t xml:space="preserve"> DOBLE EL PRODUCTO - </t>
    </r>
    <r>
      <rPr>
        <b/>
        <sz val="26"/>
        <color rgb="FFFF0000"/>
        <rFont val="Calibri"/>
        <family val="2"/>
      </rPr>
      <t>10" X 12"</t>
    </r>
  </si>
  <si>
    <r>
      <rPr>
        <b/>
        <sz val="26"/>
        <color theme="1"/>
        <rFont val="Calibri"/>
        <family val="2"/>
      </rPr>
      <t xml:space="preserve">2. TRI-FOLD: </t>
    </r>
    <r>
      <rPr>
        <sz val="26"/>
        <color theme="1"/>
        <rFont val="Calibri"/>
        <family val="2"/>
      </rPr>
      <t>DOBLE MANGAS &gt; DOBLE PARA MACHAR DIMENSION DE BOLSA</t>
    </r>
  </si>
  <si>
    <t>74/76"</t>
  </si>
  <si>
    <t>BLACK</t>
  </si>
  <si>
    <t>KONTOOR, F#264T405-01 WESTERN MAINLINE SU26 4 de 5 GN001KC (정-봉제 작지서)</t>
  </si>
  <si>
    <t>+/-1</t>
  </si>
  <si>
    <t>-</t>
  </si>
  <si>
    <t>+3/4 ~ -1/2</t>
  </si>
  <si>
    <t>+/-3/4</t>
  </si>
  <si>
    <t>+/-1/2</t>
  </si>
  <si>
    <t>+/-1/4</t>
  </si>
  <si>
    <r>
      <rPr>
        <b/>
        <sz val="18"/>
        <color rgb="FF000000"/>
        <rFont val="Calibri"/>
        <family val="2"/>
      </rPr>
      <t>PEOPLE&amp;ART PRINT</t>
    </r>
    <r>
      <rPr>
        <sz val="18"/>
        <color rgb="FF000000"/>
        <rFont val="Calibri"/>
        <family val="2"/>
      </rPr>
      <t xml:space="preserve">
(DELANTERA Y TRASERA)
</t>
    </r>
    <r>
      <rPr>
        <b/>
        <sz val="18"/>
        <color rgb="FF000000"/>
        <rFont val="Calibri"/>
        <family val="2"/>
      </rPr>
      <t>KIMS GLOBAL</t>
    </r>
    <r>
      <rPr>
        <sz val="18"/>
        <color rgb="FF000000"/>
        <rFont val="Calibri"/>
        <family val="2"/>
      </rPr>
      <t xml:space="preserve">
(NEO MINERAL WASH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</si>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</sst>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[$-409]d&quot;-&quot;mmm&quot;-&quot;yy;@"/>
    <numFmt numFmtId="165" formatCode="#,##0&quot; gr/m2&quot;"/>
    <numFmt numFmtId="166" formatCode="[$-409]d/mmm/yy;@"/>
    <numFmt numFmtId="167" formatCode="yyyy&quot;/&quot;m&quot;/&quot;d;@"/>
    <numFmt numFmtId="168" formatCode="#,###\ &quot;pcs&quot;"/>
    <numFmt numFmtId="169" formatCode="0.00\ \ &quot;YD/DZ&quot;"/>
    <numFmt numFmtId="170" formatCode="&quot;$&quot;#,##0.00"/>
  </numFmts>
  <fonts count="54">
    <font>
      <sz val="11"/>
      <color theme="1"/>
      <name val="Aptos Narrow"/>
      <family val="2"/>
      <scheme val="minor"/>
    </font>
    <font>
      <sz val="11"/>
      <name val="돋움"/>
      <family val="3"/>
      <charset val="129"/>
    </font>
    <font>
      <b/>
      <sz val="24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4"/>
      <name val="Calibri"/>
      <family val="2"/>
    </font>
    <font>
      <b/>
      <sz val="20"/>
      <name val="Calibri"/>
      <family val="2"/>
    </font>
    <font>
      <b/>
      <sz val="11"/>
      <name val="Calibri"/>
      <family val="2"/>
    </font>
    <font>
      <b/>
      <sz val="18"/>
      <name val="Calibri"/>
      <family val="2"/>
    </font>
    <font>
      <b/>
      <sz val="22"/>
      <name val="Calibri"/>
      <family val="2"/>
    </font>
    <font>
      <sz val="16"/>
      <name val="Calibri"/>
      <family val="2"/>
    </font>
    <font>
      <sz val="18"/>
      <name val="Calibri"/>
      <family val="2"/>
    </font>
    <font>
      <sz val="18"/>
      <color rgb="FF000000"/>
      <name val="Calibri"/>
      <family val="2"/>
    </font>
    <font>
      <sz val="22"/>
      <color rgb="FF000000"/>
      <name val="Calibri"/>
      <family val="2"/>
    </font>
    <font>
      <sz val="22"/>
      <name val="Calibri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8"/>
      <color theme="1"/>
      <name val="Calibri"/>
      <family val="2"/>
    </font>
    <font>
      <b/>
      <sz val="18"/>
      <color theme="1"/>
      <name val="Calibri"/>
      <family val="2"/>
    </font>
    <font>
      <b/>
      <sz val="18"/>
      <color rgb="FFFF0000"/>
      <name val="Calibri"/>
      <family val="2"/>
    </font>
    <font>
      <b/>
      <sz val="20"/>
      <color rgb="FFFF0000"/>
      <name val="Calibri"/>
      <family val="2"/>
    </font>
    <font>
      <sz val="12"/>
      <name val="Arial"/>
      <family val="2"/>
    </font>
    <font>
      <b/>
      <sz val="22"/>
      <color theme="1"/>
      <name val="Calibri"/>
      <family val="2"/>
    </font>
    <font>
      <b/>
      <sz val="24"/>
      <color theme="1"/>
      <name val="Calibri"/>
      <family val="2"/>
    </font>
    <font>
      <b/>
      <sz val="26"/>
      <color theme="1"/>
      <name val="Calibri"/>
      <family val="2"/>
    </font>
    <font>
      <b/>
      <sz val="28"/>
      <color theme="1"/>
      <name val="Calibri"/>
      <family val="2"/>
    </font>
    <font>
      <b/>
      <u/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24"/>
      <name val="Calibri"/>
      <family val="2"/>
    </font>
    <font>
      <b/>
      <sz val="24"/>
      <color indexed="8"/>
      <name val="Calibri"/>
      <family val="2"/>
    </font>
    <font>
      <b/>
      <sz val="28"/>
      <name val="Calibri"/>
      <family val="2"/>
    </font>
    <font>
      <sz val="26"/>
      <color theme="1"/>
      <name val="Calibri"/>
      <family val="2"/>
    </font>
    <font>
      <b/>
      <sz val="26"/>
      <color rgb="FFFF0000"/>
      <name val="Calibri"/>
      <family val="2"/>
    </font>
    <font>
      <b/>
      <u/>
      <sz val="28"/>
      <color theme="1"/>
      <name val="Calibri"/>
      <family val="2"/>
    </font>
    <font>
      <b/>
      <sz val="11"/>
      <name val="Abadi"/>
      <family val="2"/>
    </font>
    <font>
      <b/>
      <sz val="36"/>
      <name val="Calibri"/>
      <family val="2"/>
    </font>
    <font>
      <b/>
      <sz val="16"/>
      <color theme="1"/>
      <name val="Calibri"/>
      <family val="2"/>
    </font>
    <font>
      <sz val="26"/>
      <name val="Calibri"/>
      <family val="2"/>
    </font>
    <font>
      <sz val="26"/>
      <color rgb="FF000000"/>
      <name val="Calibri"/>
      <family val="2"/>
    </font>
    <font>
      <b/>
      <sz val="26"/>
      <color rgb="FF000000"/>
      <name val="Calibri"/>
      <family val="2"/>
    </font>
    <font>
      <b/>
      <sz val="26"/>
      <name val="Calibri"/>
      <family val="2"/>
    </font>
    <font>
      <sz val="22"/>
      <color theme="1"/>
      <name val="Calibri"/>
      <family val="2"/>
    </font>
    <font>
      <sz val="36"/>
      <color rgb="FF000000"/>
      <name val="Calibri"/>
      <family val="2"/>
    </font>
    <font>
      <sz val="28"/>
      <color rgb="FF000000"/>
      <name val="Calibri"/>
      <family val="2"/>
    </font>
    <font>
      <sz val="20"/>
      <color rgb="FF000000"/>
      <name val="Calibri"/>
      <family val="2"/>
    </font>
    <font>
      <sz val="26"/>
      <color theme="1"/>
      <name val="Aptos Narrow"/>
      <family val="2"/>
      <scheme val="minor"/>
    </font>
    <font>
      <sz val="22"/>
      <color theme="3" tint="0.499984740745262"/>
      <name val="Calibri"/>
      <family val="2"/>
    </font>
    <font>
      <sz val="22"/>
      <color theme="5"/>
      <name val="Calibri"/>
      <family val="2"/>
    </font>
    <font>
      <b/>
      <sz val="18"/>
      <color rgb="FF000000"/>
      <name val="Calibri"/>
      <family val="2"/>
    </font>
    <font>
      <sz val="11"/>
      <color theme="1"/>
      <name val="Aptos Narrow"/>
      <family val="2"/>
      <scheme val="minor"/>
    </font>
    <font>
      <sz val="28"/>
      <color rgb="FFFF0000"/>
      <name val="Calibri"/>
      <family val="2"/>
    </font>
    <font>
      <b/>
      <sz val="22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9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23" fillId="0" borderId="0"/>
    <xf numFmtId="0" fontId="23" fillId="0" borderId="0"/>
    <xf numFmtId="43" fontId="51" fillId="0" borderId="0" applyFont="0" applyFill="0" applyBorder="0" applyAlignment="0" applyProtection="0"/>
  </cellStyleXfs>
  <cellXfs count="334">
    <xf numFmtId="0" fontId="0" fillId="0" borderId="0" xfId="0"/>
    <xf numFmtId="0" fontId="4" fillId="0" borderId="5" xfId="1" applyFont="1" applyBorder="1" applyAlignment="1">
      <alignment horizontal="center" vertical="center"/>
    </xf>
    <xf numFmtId="14" fontId="5" fillId="0" borderId="5" xfId="1" applyNumberFormat="1" applyFont="1" applyBorder="1" applyAlignment="1">
      <alignment vertical="center"/>
    </xf>
    <xf numFmtId="0" fontId="5" fillId="0" borderId="5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7" fillId="0" borderId="6" xfId="1" applyFont="1" applyBorder="1" applyAlignment="1">
      <alignment horizontal="center" vertical="center"/>
    </xf>
    <xf numFmtId="0" fontId="10" fillId="0" borderId="8" xfId="1" applyFont="1" applyBorder="1" applyAlignment="1">
      <alignment horizontal="left" vertical="center"/>
    </xf>
    <xf numFmtId="0" fontId="10" fillId="0" borderId="14" xfId="1" applyFont="1" applyBorder="1" applyAlignment="1">
      <alignment horizontal="left" vertical="center"/>
    </xf>
    <xf numFmtId="0" fontId="10" fillId="0" borderId="15" xfId="1" applyFont="1" applyBorder="1" applyAlignment="1">
      <alignment vertical="center"/>
    </xf>
    <xf numFmtId="165" fontId="10" fillId="0" borderId="15" xfId="1" applyNumberFormat="1" applyFont="1" applyBorder="1" applyAlignment="1">
      <alignment horizontal="left" vertical="center"/>
    </xf>
    <xf numFmtId="0" fontId="10" fillId="0" borderId="33" xfId="1" applyFont="1" applyBorder="1" applyAlignment="1">
      <alignment horizontal="left" vertical="center"/>
    </xf>
    <xf numFmtId="166" fontId="10" fillId="4" borderId="34" xfId="1" applyNumberFormat="1" applyFont="1" applyFill="1" applyBorder="1" applyAlignment="1">
      <alignment horizontal="left" vertical="center"/>
    </xf>
    <xf numFmtId="164" fontId="3" fillId="0" borderId="2" xfId="1" applyNumberFormat="1" applyFont="1" applyBorder="1" applyAlignment="1">
      <alignment horizontal="left" vertical="center"/>
    </xf>
    <xf numFmtId="0" fontId="6" fillId="0" borderId="12" xfId="1" applyFont="1" applyBorder="1" applyAlignment="1">
      <alignment horizontal="center" vertical="center"/>
    </xf>
    <xf numFmtId="0" fontId="6" fillId="0" borderId="38" xfId="1" applyFont="1" applyBorder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9" fillId="0" borderId="0" xfId="1" applyFont="1" applyAlignment="1">
      <alignment horizontal="right" vertical="center"/>
    </xf>
    <xf numFmtId="0" fontId="10" fillId="0" borderId="19" xfId="1" applyFont="1" applyBorder="1" applyAlignment="1">
      <alignment horizontal="left" vertical="center"/>
    </xf>
    <xf numFmtId="0" fontId="13" fillId="4" borderId="45" xfId="1" applyFont="1" applyFill="1" applyBorder="1" applyAlignment="1">
      <alignment vertical="center"/>
    </xf>
    <xf numFmtId="0" fontId="17" fillId="0" borderId="0" xfId="0" applyFont="1"/>
    <xf numFmtId="0" fontId="13" fillId="0" borderId="0" xfId="1" applyFont="1" applyAlignment="1">
      <alignment vertical="center"/>
    </xf>
    <xf numFmtId="0" fontId="13" fillId="0" borderId="5" xfId="1" applyFont="1" applyBorder="1" applyAlignment="1">
      <alignment vertical="center"/>
    </xf>
    <xf numFmtId="0" fontId="6" fillId="3" borderId="68" xfId="1" applyFont="1" applyFill="1" applyBorder="1" applyAlignment="1">
      <alignment horizontal="center" vertical="center"/>
    </xf>
    <xf numFmtId="0" fontId="10" fillId="0" borderId="39" xfId="1" applyFont="1" applyBorder="1" applyAlignment="1">
      <alignment horizontal="center" vertical="center"/>
    </xf>
    <xf numFmtId="0" fontId="10" fillId="0" borderId="42" xfId="1" applyFont="1" applyBorder="1" applyAlignment="1">
      <alignment horizontal="center" vertical="center"/>
    </xf>
    <xf numFmtId="0" fontId="17" fillId="0" borderId="65" xfId="0" applyFont="1" applyBorder="1"/>
    <xf numFmtId="0" fontId="17" fillId="0" borderId="50" xfId="0" applyFont="1" applyBorder="1"/>
    <xf numFmtId="0" fontId="17" fillId="0" borderId="5" xfId="0" applyFont="1" applyBorder="1"/>
    <xf numFmtId="0" fontId="13" fillId="0" borderId="65" xfId="1" applyFont="1" applyBorder="1" applyAlignment="1">
      <alignment vertical="center"/>
    </xf>
    <xf numFmtId="0" fontId="13" fillId="0" borderId="50" xfId="1" applyFont="1" applyBorder="1" applyAlignment="1">
      <alignment vertical="center"/>
    </xf>
    <xf numFmtId="0" fontId="2" fillId="0" borderId="30" xfId="2" applyFont="1" applyBorder="1" applyAlignment="1">
      <alignment horizontal="center" vertical="center"/>
    </xf>
    <xf numFmtId="0" fontId="30" fillId="0" borderId="64" xfId="1" applyFont="1" applyBorder="1" applyAlignment="1">
      <alignment vertical="center"/>
    </xf>
    <xf numFmtId="49" fontId="31" fillId="0" borderId="45" xfId="3" applyNumberFormat="1" applyFont="1" applyBorder="1" applyAlignment="1">
      <alignment horizontal="center" vertical="center"/>
    </xf>
    <xf numFmtId="0" fontId="30" fillId="0" borderId="49" xfId="1" applyFont="1" applyBorder="1" applyAlignment="1">
      <alignment vertical="center"/>
    </xf>
    <xf numFmtId="0" fontId="30" fillId="0" borderId="0" xfId="1" applyFont="1" applyAlignment="1">
      <alignment vertical="center"/>
    </xf>
    <xf numFmtId="49" fontId="31" fillId="0" borderId="58" xfId="3" applyNumberFormat="1" applyFont="1" applyBorder="1" applyAlignment="1">
      <alignment horizontal="center" vertical="center"/>
    </xf>
    <xf numFmtId="0" fontId="30" fillId="0" borderId="5" xfId="1" applyFont="1" applyBorder="1" applyAlignment="1">
      <alignment vertical="center"/>
    </xf>
    <xf numFmtId="0" fontId="17" fillId="0" borderId="6" xfId="0" applyFont="1" applyBorder="1"/>
    <xf numFmtId="0" fontId="33" fillId="0" borderId="19" xfId="0" applyFont="1" applyBorder="1"/>
    <xf numFmtId="0" fontId="28" fillId="0" borderId="0" xfId="0" applyFont="1"/>
    <xf numFmtId="0" fontId="24" fillId="0" borderId="0" xfId="0" applyFont="1"/>
    <xf numFmtId="0" fontId="29" fillId="0" borderId="0" xfId="0" applyFont="1"/>
    <xf numFmtId="0" fontId="26" fillId="0" borderId="19" xfId="0" applyFont="1" applyBorder="1"/>
    <xf numFmtId="0" fontId="17" fillId="0" borderId="19" xfId="0" applyFont="1" applyBorder="1"/>
    <xf numFmtId="0" fontId="17" fillId="0" borderId="4" xfId="0" applyFont="1" applyBorder="1"/>
    <xf numFmtId="0" fontId="17" fillId="0" borderId="36" xfId="0" applyFont="1" applyBorder="1"/>
    <xf numFmtId="0" fontId="29" fillId="0" borderId="5" xfId="0" applyFont="1" applyBorder="1"/>
    <xf numFmtId="0" fontId="16" fillId="0" borderId="4" xfId="1" applyFont="1" applyBorder="1" applyAlignment="1">
      <alignment horizontal="left" vertical="center"/>
    </xf>
    <xf numFmtId="0" fontId="11" fillId="0" borderId="5" xfId="1" applyFont="1" applyBorder="1" applyAlignment="1">
      <alignment horizontal="center" vertical="center"/>
    </xf>
    <xf numFmtId="0" fontId="11" fillId="0" borderId="0" xfId="1" applyFont="1" applyAlignment="1">
      <alignment horizontal="right" vertical="center"/>
    </xf>
    <xf numFmtId="0" fontId="10" fillId="0" borderId="9" xfId="1" applyFont="1" applyBorder="1" applyAlignment="1">
      <alignment horizontal="left" vertical="center"/>
    </xf>
    <xf numFmtId="0" fontId="10" fillId="0" borderId="15" xfId="1" applyFont="1" applyBorder="1" applyAlignment="1">
      <alignment horizontal="left" vertical="center" wrapText="1"/>
    </xf>
    <xf numFmtId="0" fontId="10" fillId="0" borderId="15" xfId="1" applyFont="1" applyBorder="1" applyAlignment="1">
      <alignment horizontal="left" vertical="center"/>
    </xf>
    <xf numFmtId="0" fontId="10" fillId="0" borderId="17" xfId="1" applyFont="1" applyBorder="1" applyAlignment="1">
      <alignment horizontal="left" vertical="center"/>
    </xf>
    <xf numFmtId="0" fontId="10" fillId="0" borderId="4" xfId="1" applyFont="1" applyBorder="1" applyAlignment="1">
      <alignment horizontal="left" vertical="center"/>
    </xf>
    <xf numFmtId="0" fontId="10" fillId="0" borderId="73" xfId="1" applyFont="1" applyBorder="1" applyAlignment="1">
      <alignment horizontal="left" vertical="center"/>
    </xf>
    <xf numFmtId="0" fontId="13" fillId="4" borderId="30" xfId="1" applyFont="1" applyFill="1" applyBorder="1" applyAlignment="1">
      <alignment horizontal="center" vertical="center" wrapText="1"/>
    </xf>
    <xf numFmtId="0" fontId="13" fillId="4" borderId="30" xfId="1" applyFont="1" applyFill="1" applyBorder="1" applyAlignment="1">
      <alignment vertical="center"/>
    </xf>
    <xf numFmtId="0" fontId="14" fillId="5" borderId="74" xfId="0" applyFont="1" applyFill="1" applyBorder="1" applyAlignment="1">
      <alignment horizontal="center" vertical="center" wrapText="1"/>
    </xf>
    <xf numFmtId="0" fontId="14" fillId="5" borderId="76" xfId="0" applyFont="1" applyFill="1" applyBorder="1" applyAlignment="1">
      <alignment horizontal="center" vertical="center" wrapText="1"/>
    </xf>
    <xf numFmtId="0" fontId="18" fillId="7" borderId="77" xfId="0" applyFont="1" applyFill="1" applyBorder="1" applyAlignment="1">
      <alignment vertical="center"/>
    </xf>
    <xf numFmtId="0" fontId="18" fillId="7" borderId="67" xfId="0" applyFont="1" applyFill="1" applyBorder="1" applyAlignment="1">
      <alignment vertical="center"/>
    </xf>
    <xf numFmtId="0" fontId="13" fillId="4" borderId="47" xfId="1" applyFont="1" applyFill="1" applyBorder="1" applyAlignment="1">
      <alignment horizontal="center" vertical="center" wrapText="1"/>
    </xf>
    <xf numFmtId="0" fontId="14" fillId="5" borderId="78" xfId="0" applyFont="1" applyFill="1" applyBorder="1" applyAlignment="1">
      <alignment horizontal="center" vertical="center" wrapText="1"/>
    </xf>
    <xf numFmtId="0" fontId="21" fillId="3" borderId="55" xfId="1" applyFont="1" applyFill="1" applyBorder="1" applyAlignment="1">
      <alignment horizontal="center" vertical="center"/>
    </xf>
    <xf numFmtId="0" fontId="21" fillId="3" borderId="70" xfId="1" applyFont="1" applyFill="1" applyBorder="1" applyAlignment="1">
      <alignment horizontal="center" vertical="center"/>
    </xf>
    <xf numFmtId="167" fontId="16" fillId="0" borderId="6" xfId="1" applyNumberFormat="1" applyFont="1" applyBorder="1" applyAlignment="1">
      <alignment horizontal="left" vertical="center"/>
    </xf>
    <xf numFmtId="0" fontId="14" fillId="0" borderId="45" xfId="0" applyFont="1" applyBorder="1" applyAlignment="1">
      <alignment horizontal="center" vertical="center" wrapText="1"/>
    </xf>
    <xf numFmtId="3" fontId="15" fillId="0" borderId="45" xfId="0" applyNumberFormat="1" applyFont="1" applyBorder="1" applyAlignment="1">
      <alignment horizontal="center" vertical="center"/>
    </xf>
    <xf numFmtId="0" fontId="17" fillId="0" borderId="57" xfId="0" applyFont="1" applyBorder="1"/>
    <xf numFmtId="0" fontId="13" fillId="4" borderId="58" xfId="1" applyFont="1" applyFill="1" applyBorder="1" applyAlignment="1">
      <alignment vertical="center"/>
    </xf>
    <xf numFmtId="0" fontId="14" fillId="0" borderId="58" xfId="0" applyFont="1" applyBorder="1" applyAlignment="1">
      <alignment horizontal="center" vertical="center" wrapText="1"/>
    </xf>
    <xf numFmtId="3" fontId="15" fillId="0" borderId="58" xfId="0" applyNumberFormat="1" applyFont="1" applyBorder="1" applyAlignment="1">
      <alignment horizontal="center" vertical="center"/>
    </xf>
    <xf numFmtId="0" fontId="17" fillId="0" borderId="59" xfId="0" applyFont="1" applyBorder="1"/>
    <xf numFmtId="0" fontId="14" fillId="0" borderId="30" xfId="0" applyFont="1" applyBorder="1" applyAlignment="1">
      <alignment horizontal="center" vertical="center" wrapText="1"/>
    </xf>
    <xf numFmtId="3" fontId="15" fillId="0" borderId="30" xfId="0" applyNumberFormat="1" applyFont="1" applyBorder="1" applyAlignment="1">
      <alignment horizontal="center" vertical="center"/>
    </xf>
    <xf numFmtId="0" fontId="17" fillId="0" borderId="60" xfId="0" applyFont="1" applyBorder="1"/>
    <xf numFmtId="0" fontId="8" fillId="10" borderId="43" xfId="1" applyFont="1" applyFill="1" applyBorder="1" applyAlignment="1">
      <alignment horizontal="center" vertical="center"/>
    </xf>
    <xf numFmtId="0" fontId="11" fillId="0" borderId="27" xfId="1" applyFont="1" applyBorder="1" applyAlignment="1">
      <alignment horizontal="center" vertical="center"/>
    </xf>
    <xf numFmtId="168" fontId="10" fillId="0" borderId="15" xfId="1" applyNumberFormat="1" applyFont="1" applyBorder="1" applyAlignment="1">
      <alignment horizontal="left" vertical="center"/>
    </xf>
    <xf numFmtId="169" fontId="38" fillId="7" borderId="57" xfId="0" applyNumberFormat="1" applyFont="1" applyFill="1" applyBorder="1" applyAlignment="1">
      <alignment horizontal="right" vertical="center"/>
    </xf>
    <xf numFmtId="169" fontId="38" fillId="7" borderId="59" xfId="0" applyNumberFormat="1" applyFont="1" applyFill="1" applyBorder="1" applyAlignment="1">
      <alignment horizontal="right" vertical="center"/>
    </xf>
    <xf numFmtId="0" fontId="14" fillId="5" borderId="85" xfId="0" applyFont="1" applyFill="1" applyBorder="1" applyAlignment="1">
      <alignment horizontal="center" vertical="center" wrapText="1"/>
    </xf>
    <xf numFmtId="3" fontId="40" fillId="5" borderId="42" xfId="0" applyNumberFormat="1" applyFont="1" applyFill="1" applyBorder="1" applyAlignment="1">
      <alignment horizontal="center" vertical="center"/>
    </xf>
    <xf numFmtId="3" fontId="40" fillId="6" borderId="42" xfId="0" applyNumberFormat="1" applyFont="1" applyFill="1" applyBorder="1" applyAlignment="1">
      <alignment horizontal="center" vertical="center"/>
    </xf>
    <xf numFmtId="3" fontId="41" fillId="6" borderId="42" xfId="0" applyNumberFormat="1" applyFont="1" applyFill="1" applyBorder="1" applyAlignment="1">
      <alignment horizontal="center" vertical="center"/>
    </xf>
    <xf numFmtId="3" fontId="40" fillId="5" borderId="45" xfId="0" applyNumberFormat="1" applyFont="1" applyFill="1" applyBorder="1" applyAlignment="1">
      <alignment horizontal="center" vertical="center"/>
    </xf>
    <xf numFmtId="3" fontId="40" fillId="6" borderId="45" xfId="0" applyNumberFormat="1" applyFont="1" applyFill="1" applyBorder="1" applyAlignment="1">
      <alignment horizontal="center" vertical="center"/>
    </xf>
    <xf numFmtId="3" fontId="41" fillId="6" borderId="45" xfId="0" applyNumberFormat="1" applyFont="1" applyFill="1" applyBorder="1" applyAlignment="1">
      <alignment horizontal="center" vertical="center"/>
    </xf>
    <xf numFmtId="3" fontId="42" fillId="8" borderId="24" xfId="1" applyNumberFormat="1" applyFont="1" applyFill="1" applyBorder="1" applyAlignment="1">
      <alignment horizontal="center" vertical="center"/>
    </xf>
    <xf numFmtId="3" fontId="42" fillId="3" borderId="24" xfId="1" applyNumberFormat="1" applyFont="1" applyFill="1" applyBorder="1" applyAlignment="1">
      <alignment horizontal="center" vertical="center"/>
    </xf>
    <xf numFmtId="0" fontId="43" fillId="0" borderId="30" xfId="0" applyFont="1" applyBorder="1" applyAlignment="1">
      <alignment horizontal="center" vertical="center"/>
    </xf>
    <xf numFmtId="0" fontId="43" fillId="0" borderId="45" xfId="0" applyFont="1" applyBorder="1" applyAlignment="1">
      <alignment horizontal="center" vertical="center"/>
    </xf>
    <xf numFmtId="0" fontId="43" fillId="0" borderId="58" xfId="0" applyFont="1" applyBorder="1" applyAlignment="1">
      <alignment horizontal="center" vertical="center"/>
    </xf>
    <xf numFmtId="170" fontId="15" fillId="6" borderId="84" xfId="0" applyNumberFormat="1" applyFont="1" applyFill="1" applyBorder="1" applyAlignment="1">
      <alignment horizontal="center" vertical="center"/>
    </xf>
    <xf numFmtId="170" fontId="15" fillId="6" borderId="27" xfId="0" applyNumberFormat="1" applyFont="1" applyFill="1" applyBorder="1" applyAlignment="1">
      <alignment horizontal="center" vertical="center"/>
    </xf>
    <xf numFmtId="170" fontId="15" fillId="6" borderId="5" xfId="0" applyNumberFormat="1" applyFont="1" applyFill="1" applyBorder="1" applyAlignment="1">
      <alignment horizontal="center" vertical="center"/>
    </xf>
    <xf numFmtId="0" fontId="14" fillId="5" borderId="86" xfId="0" applyFont="1" applyFill="1" applyBorder="1" applyAlignment="1">
      <alignment horizontal="center" vertical="center" wrapText="1"/>
    </xf>
    <xf numFmtId="0" fontId="14" fillId="5" borderId="87" xfId="0" applyFont="1" applyFill="1" applyBorder="1" applyAlignment="1">
      <alignment horizontal="center" vertical="center" wrapText="1"/>
    </xf>
    <xf numFmtId="0" fontId="16" fillId="4" borderId="42" xfId="1" applyFont="1" applyFill="1" applyBorder="1" applyAlignment="1">
      <alignment horizontal="center" vertical="center" wrapText="1"/>
    </xf>
    <xf numFmtId="0" fontId="16" fillId="4" borderId="42" xfId="1" applyFont="1" applyFill="1" applyBorder="1" applyAlignment="1">
      <alignment vertical="center"/>
    </xf>
    <xf numFmtId="0" fontId="16" fillId="4" borderId="45" xfId="1" applyFont="1" applyFill="1" applyBorder="1" applyAlignment="1">
      <alignment vertical="center"/>
    </xf>
    <xf numFmtId="3" fontId="44" fillId="0" borderId="30" xfId="0" applyNumberFormat="1" applyFont="1" applyBorder="1" applyAlignment="1">
      <alignment horizontal="center" vertical="center"/>
    </xf>
    <xf numFmtId="3" fontId="44" fillId="0" borderId="45" xfId="0" applyNumberFormat="1" applyFont="1" applyBorder="1" applyAlignment="1">
      <alignment horizontal="center" vertical="center"/>
    </xf>
    <xf numFmtId="3" fontId="44" fillId="0" borderId="58" xfId="0" applyNumberFormat="1" applyFont="1" applyBorder="1" applyAlignment="1">
      <alignment horizontal="center" vertical="center"/>
    </xf>
    <xf numFmtId="3" fontId="45" fillId="0" borderId="30" xfId="0" applyNumberFormat="1" applyFont="1" applyBorder="1" applyAlignment="1">
      <alignment horizontal="center" vertical="center"/>
    </xf>
    <xf numFmtId="3" fontId="45" fillId="0" borderId="45" xfId="0" applyNumberFormat="1" applyFont="1" applyBorder="1" applyAlignment="1">
      <alignment horizontal="center" vertical="center"/>
    </xf>
    <xf numFmtId="3" fontId="15" fillId="0" borderId="49" xfId="0" applyNumberFormat="1" applyFont="1" applyBorder="1" applyAlignment="1">
      <alignment horizontal="center" vertical="center"/>
    </xf>
    <xf numFmtId="3" fontId="15" fillId="0" borderId="52" xfId="0" applyNumberFormat="1" applyFont="1" applyBorder="1" applyAlignment="1">
      <alignment horizontal="center" vertical="center"/>
    </xf>
    <xf numFmtId="0" fontId="10" fillId="0" borderId="0" xfId="1" applyFont="1" applyAlignment="1">
      <alignment horizontal="left" vertical="center"/>
    </xf>
    <xf numFmtId="3" fontId="15" fillId="0" borderId="29" xfId="0" applyNumberFormat="1" applyFont="1" applyBorder="1" applyAlignment="1">
      <alignment horizontal="center" vertical="center"/>
    </xf>
    <xf numFmtId="0" fontId="15" fillId="5" borderId="41" xfId="0" applyFont="1" applyFill="1" applyBorder="1" applyAlignment="1">
      <alignment horizontal="center" vertical="center" wrapText="1"/>
    </xf>
    <xf numFmtId="0" fontId="15" fillId="5" borderId="74" xfId="0" applyFont="1" applyFill="1" applyBorder="1" applyAlignment="1">
      <alignment horizontal="center" vertical="center" wrapText="1"/>
    </xf>
    <xf numFmtId="0" fontId="15" fillId="5" borderId="44" xfId="0" applyFont="1" applyFill="1" applyBorder="1" applyAlignment="1">
      <alignment horizontal="center" vertical="center" wrapText="1"/>
    </xf>
    <xf numFmtId="0" fontId="15" fillId="5" borderId="75" xfId="0" applyFont="1" applyFill="1" applyBorder="1" applyAlignment="1">
      <alignment horizontal="center" vertical="center" wrapText="1"/>
    </xf>
    <xf numFmtId="0" fontId="43" fillId="0" borderId="30" xfId="0" applyFont="1" applyBorder="1" applyAlignment="1">
      <alignment horizontal="center" vertical="center" wrapText="1"/>
    </xf>
    <xf numFmtId="166" fontId="46" fillId="5" borderId="42" xfId="0" applyNumberFormat="1" applyFont="1" applyFill="1" applyBorder="1" applyAlignment="1">
      <alignment horizontal="center" vertical="center" wrapText="1"/>
    </xf>
    <xf numFmtId="166" fontId="46" fillId="5" borderId="45" xfId="0" applyNumberFormat="1" applyFont="1" applyFill="1" applyBorder="1" applyAlignment="1">
      <alignment horizontal="center" vertical="center" wrapText="1"/>
    </xf>
    <xf numFmtId="0" fontId="11" fillId="4" borderId="45" xfId="1" applyFont="1" applyFill="1" applyBorder="1" applyAlignment="1">
      <alignment horizontal="center" vertical="center" wrapText="1"/>
    </xf>
    <xf numFmtId="0" fontId="16" fillId="4" borderId="30" xfId="1" applyFont="1" applyFill="1" applyBorder="1" applyAlignment="1">
      <alignment horizontal="center" vertical="center" wrapText="1"/>
    </xf>
    <xf numFmtId="3" fontId="42" fillId="12" borderId="24" xfId="1" applyNumberFormat="1" applyFont="1" applyFill="1" applyBorder="1" applyAlignment="1">
      <alignment horizontal="center" vertical="center"/>
    </xf>
    <xf numFmtId="0" fontId="15" fillId="5" borderId="89" xfId="0" applyFont="1" applyFill="1" applyBorder="1" applyAlignment="1">
      <alignment horizontal="center" vertical="center" wrapText="1"/>
    </xf>
    <xf numFmtId="0" fontId="15" fillId="5" borderId="90" xfId="0" applyFont="1" applyFill="1" applyBorder="1" applyAlignment="1">
      <alignment horizontal="center" vertical="center" wrapText="1"/>
    </xf>
    <xf numFmtId="0" fontId="16" fillId="4" borderId="58" xfId="1" applyFont="1" applyFill="1" applyBorder="1" applyAlignment="1">
      <alignment horizontal="center" vertical="center" wrapText="1"/>
    </xf>
    <xf numFmtId="0" fontId="16" fillId="4" borderId="58" xfId="1" applyFont="1" applyFill="1" applyBorder="1" applyAlignment="1">
      <alignment vertical="center"/>
    </xf>
    <xf numFmtId="166" fontId="46" fillId="5" borderId="58" xfId="0" applyNumberFormat="1" applyFont="1" applyFill="1" applyBorder="1" applyAlignment="1">
      <alignment horizontal="center" vertical="center" wrapText="1"/>
    </xf>
    <xf numFmtId="3" fontId="40" fillId="5" borderId="58" xfId="0" applyNumberFormat="1" applyFont="1" applyFill="1" applyBorder="1" applyAlignment="1">
      <alignment horizontal="center" vertical="center"/>
    </xf>
    <xf numFmtId="3" fontId="40" fillId="6" borderId="58" xfId="0" applyNumberFormat="1" applyFont="1" applyFill="1" applyBorder="1" applyAlignment="1">
      <alignment horizontal="center" vertical="center"/>
    </xf>
    <xf numFmtId="3" fontId="41" fillId="6" borderId="58" xfId="0" applyNumberFormat="1" applyFont="1" applyFill="1" applyBorder="1" applyAlignment="1">
      <alignment horizontal="center" vertical="center"/>
    </xf>
    <xf numFmtId="0" fontId="14" fillId="5" borderId="91" xfId="0" applyFont="1" applyFill="1" applyBorder="1" applyAlignment="1">
      <alignment horizontal="center" vertical="center" wrapText="1"/>
    </xf>
    <xf numFmtId="3" fontId="42" fillId="8" borderId="92" xfId="1" applyNumberFormat="1" applyFont="1" applyFill="1" applyBorder="1" applyAlignment="1">
      <alignment horizontal="center" vertical="center"/>
    </xf>
    <xf numFmtId="3" fontId="42" fillId="3" borderId="92" xfId="1" applyNumberFormat="1" applyFont="1" applyFill="1" applyBorder="1" applyAlignment="1">
      <alignment horizontal="center" vertical="center"/>
    </xf>
    <xf numFmtId="0" fontId="18" fillId="7" borderId="39" xfId="0" applyFont="1" applyFill="1" applyBorder="1" applyAlignment="1">
      <alignment vertical="center"/>
    </xf>
    <xf numFmtId="169" fontId="38" fillId="7" borderId="93" xfId="0" applyNumberFormat="1" applyFont="1" applyFill="1" applyBorder="1" applyAlignment="1">
      <alignment horizontal="right" vertical="center"/>
    </xf>
    <xf numFmtId="0" fontId="8" fillId="10" borderId="58" xfId="1" applyFont="1" applyFill="1" applyBorder="1" applyAlignment="1">
      <alignment horizontal="center" vertical="center"/>
    </xf>
    <xf numFmtId="0" fontId="15" fillId="5" borderId="86" xfId="0" applyFont="1" applyFill="1" applyBorder="1" applyAlignment="1">
      <alignment horizontal="center" vertical="center" wrapText="1"/>
    </xf>
    <xf numFmtId="0" fontId="11" fillId="4" borderId="94" xfId="1" applyFont="1" applyFill="1" applyBorder="1" applyAlignment="1">
      <alignment horizontal="center" vertical="center" wrapText="1"/>
    </xf>
    <xf numFmtId="0" fontId="11" fillId="4" borderId="47" xfId="1" applyFont="1" applyFill="1" applyBorder="1" applyAlignment="1">
      <alignment horizontal="center" vertical="center" wrapText="1"/>
    </xf>
    <xf numFmtId="12" fontId="47" fillId="0" borderId="45" xfId="0" applyNumberFormat="1" applyFont="1" applyBorder="1" applyAlignment="1">
      <alignment horizontal="center" vertical="center"/>
    </xf>
    <xf numFmtId="0" fontId="47" fillId="0" borderId="45" xfId="0" applyFont="1" applyBorder="1" applyAlignment="1">
      <alignment horizontal="center" vertical="center"/>
    </xf>
    <xf numFmtId="12" fontId="47" fillId="0" borderId="30" xfId="0" applyNumberFormat="1" applyFont="1" applyBorder="1" applyAlignment="1">
      <alignment horizontal="center" vertical="center"/>
    </xf>
    <xf numFmtId="0" fontId="47" fillId="0" borderId="45" xfId="0" quotePrefix="1" applyFont="1" applyBorder="1" applyAlignment="1">
      <alignment horizontal="center" vertical="center"/>
    </xf>
    <xf numFmtId="3" fontId="44" fillId="13" borderId="30" xfId="0" applyNumberFormat="1" applyFont="1" applyFill="1" applyBorder="1" applyAlignment="1">
      <alignment horizontal="center" vertical="center"/>
    </xf>
    <xf numFmtId="0" fontId="50" fillId="5" borderId="48" xfId="0" applyFont="1" applyFill="1" applyBorder="1" applyAlignment="1">
      <alignment horizontal="center" vertical="center" wrapText="1"/>
    </xf>
    <xf numFmtId="0" fontId="50" fillId="5" borderId="76" xfId="0" applyFont="1" applyFill="1" applyBorder="1" applyAlignment="1">
      <alignment horizontal="center" vertical="center" wrapText="1"/>
    </xf>
    <xf numFmtId="0" fontId="50" fillId="5" borderId="78" xfId="0" applyFont="1" applyFill="1" applyBorder="1" applyAlignment="1">
      <alignment horizontal="center" vertical="center" wrapText="1"/>
    </xf>
    <xf numFmtId="43" fontId="39" fillId="4" borderId="42" xfId="4" applyFont="1" applyFill="1" applyBorder="1" applyAlignment="1">
      <alignment horizontal="center" vertical="center"/>
    </xf>
    <xf numFmtId="43" fontId="39" fillId="4" borderId="45" xfId="4" applyFont="1" applyFill="1" applyBorder="1" applyAlignment="1">
      <alignment horizontal="center" vertical="center"/>
    </xf>
    <xf numFmtId="43" fontId="39" fillId="4" borderId="58" xfId="4" applyFont="1" applyFill="1" applyBorder="1" applyAlignment="1">
      <alignment horizontal="center" vertical="center"/>
    </xf>
    <xf numFmtId="43" fontId="42" fillId="8" borderId="24" xfId="4" applyFont="1" applyFill="1" applyBorder="1" applyAlignment="1">
      <alignment horizontal="center" vertical="center"/>
    </xf>
    <xf numFmtId="43" fontId="42" fillId="8" borderId="92" xfId="4" applyFont="1" applyFill="1" applyBorder="1" applyAlignment="1">
      <alignment horizontal="center" vertical="center"/>
    </xf>
    <xf numFmtId="43" fontId="42" fillId="12" borderId="24" xfId="4" applyFont="1" applyFill="1" applyBorder="1" applyAlignment="1">
      <alignment horizontal="center" vertical="center"/>
    </xf>
    <xf numFmtId="0" fontId="50" fillId="5" borderId="96" xfId="0" applyFont="1" applyFill="1" applyBorder="1" applyAlignment="1">
      <alignment horizontal="center" vertical="center" wrapText="1"/>
    </xf>
    <xf numFmtId="0" fontId="14" fillId="5" borderId="97" xfId="0" applyFont="1" applyFill="1" applyBorder="1" applyAlignment="1">
      <alignment horizontal="center" vertical="center" wrapText="1"/>
    </xf>
    <xf numFmtId="12" fontId="47" fillId="0" borderId="51" xfId="0" applyNumberFormat="1" applyFont="1" applyBorder="1" applyAlignment="1">
      <alignment horizontal="center" vertical="center"/>
    </xf>
    <xf numFmtId="0" fontId="47" fillId="0" borderId="51" xfId="0" applyFont="1" applyBorder="1" applyAlignment="1">
      <alignment horizontal="center" vertical="center"/>
    </xf>
    <xf numFmtId="0" fontId="47" fillId="0" borderId="51" xfId="0" quotePrefix="1" applyFont="1" applyBorder="1" applyAlignment="1">
      <alignment horizontal="center" vertical="center"/>
    </xf>
    <xf numFmtId="12" fontId="19" fillId="0" borderId="65" xfId="0" applyNumberFormat="1" applyFont="1" applyBorder="1" applyAlignment="1">
      <alignment horizontal="center"/>
    </xf>
    <xf numFmtId="12" fontId="19" fillId="0" borderId="50" xfId="0" applyNumberFormat="1" applyFont="1" applyBorder="1" applyAlignment="1">
      <alignment horizontal="center"/>
    </xf>
    <xf numFmtId="12" fontId="19" fillId="0" borderId="50" xfId="0" quotePrefix="1" applyNumberFormat="1" applyFont="1" applyBorder="1" applyAlignment="1">
      <alignment horizontal="center"/>
    </xf>
    <xf numFmtId="0" fontId="19" fillId="0" borderId="50" xfId="0" applyFont="1" applyBorder="1" applyAlignment="1">
      <alignment horizontal="center"/>
    </xf>
    <xf numFmtId="12" fontId="19" fillId="0" borderId="53" xfId="0" applyNumberFormat="1" applyFont="1" applyBorder="1" applyAlignment="1">
      <alignment horizontal="center"/>
    </xf>
    <xf numFmtId="3" fontId="52" fillId="0" borderId="45" xfId="0" applyNumberFormat="1" applyFont="1" applyBorder="1" applyAlignment="1">
      <alignment horizontal="center" vertical="center"/>
    </xf>
    <xf numFmtId="12" fontId="53" fillId="0" borderId="71" xfId="1" quotePrefix="1" applyNumberFormat="1" applyFont="1" applyBorder="1" applyAlignment="1">
      <alignment horizontal="center" vertical="center" wrapText="1"/>
    </xf>
    <xf numFmtId="12" fontId="53" fillId="0" borderId="56" xfId="1" applyNumberFormat="1" applyFont="1" applyBorder="1" applyAlignment="1">
      <alignment horizontal="center" vertical="center" wrapText="1"/>
    </xf>
    <xf numFmtId="12" fontId="53" fillId="0" borderId="56" xfId="1" quotePrefix="1" applyNumberFormat="1" applyFont="1" applyBorder="1" applyAlignment="1">
      <alignment horizontal="center" vertical="center" wrapText="1"/>
    </xf>
    <xf numFmtId="0" fontId="9" fillId="0" borderId="23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9" fillId="0" borderId="31" xfId="1" applyFont="1" applyBorder="1" applyAlignment="1">
      <alignment horizontal="center" vertical="center"/>
    </xf>
    <xf numFmtId="0" fontId="10" fillId="0" borderId="20" xfId="1" applyFont="1" applyBorder="1" applyAlignment="1">
      <alignment horizontal="left" vertical="center"/>
    </xf>
    <xf numFmtId="0" fontId="10" fillId="0" borderId="22" xfId="1" applyFont="1" applyBorder="1" applyAlignment="1">
      <alignment horizontal="left" vertical="center"/>
    </xf>
    <xf numFmtId="0" fontId="10" fillId="0" borderId="25" xfId="1" applyFont="1" applyBorder="1" applyAlignment="1">
      <alignment horizontal="left" vertical="center"/>
    </xf>
    <xf numFmtId="0" fontId="10" fillId="0" borderId="16" xfId="1" applyFont="1" applyBorder="1" applyAlignment="1">
      <alignment horizontal="left" vertical="center"/>
    </xf>
    <xf numFmtId="0" fontId="11" fillId="8" borderId="7" xfId="1" applyFont="1" applyFill="1" applyBorder="1" applyAlignment="1">
      <alignment horizontal="center" vertical="center"/>
    </xf>
    <xf numFmtId="0" fontId="11" fillId="8" borderId="10" xfId="1" applyFont="1" applyFill="1" applyBorder="1" applyAlignment="1">
      <alignment horizontal="center" vertical="center"/>
    </xf>
    <xf numFmtId="0" fontId="11" fillId="8" borderId="11" xfId="1" applyFont="1" applyFill="1" applyBorder="1" applyAlignment="1">
      <alignment horizontal="center" vertical="center"/>
    </xf>
    <xf numFmtId="0" fontId="11" fillId="10" borderId="64" xfId="1" applyFont="1" applyFill="1" applyBorder="1" applyAlignment="1">
      <alignment horizontal="center" vertical="center"/>
    </xf>
    <xf numFmtId="0" fontId="11" fillId="10" borderId="35" xfId="1" applyFont="1" applyFill="1" applyBorder="1" applyAlignment="1">
      <alignment horizontal="center" vertical="center"/>
    </xf>
    <xf numFmtId="0" fontId="22" fillId="10" borderId="64" xfId="1" applyFont="1" applyFill="1" applyBorder="1" applyAlignment="1">
      <alignment horizontal="center" vertical="center"/>
    </xf>
    <xf numFmtId="0" fontId="22" fillId="10" borderId="65" xfId="1" applyFont="1" applyFill="1" applyBorder="1" applyAlignment="1">
      <alignment horizontal="center" vertical="center"/>
    </xf>
    <xf numFmtId="0" fontId="22" fillId="10" borderId="66" xfId="1" applyFont="1" applyFill="1" applyBorder="1" applyAlignment="1">
      <alignment horizontal="center" vertical="center"/>
    </xf>
    <xf numFmtId="0" fontId="20" fillId="7" borderId="7" xfId="0" applyFont="1" applyFill="1" applyBorder="1" applyAlignment="1">
      <alignment horizontal="center" vertical="top" wrapText="1"/>
    </xf>
    <xf numFmtId="0" fontId="20" fillId="7" borderId="37" xfId="0" applyFont="1" applyFill="1" applyBorder="1" applyAlignment="1">
      <alignment horizontal="center" vertical="top" wrapText="1"/>
    </xf>
    <xf numFmtId="0" fontId="20" fillId="7" borderId="19" xfId="0" applyFont="1" applyFill="1" applyBorder="1" applyAlignment="1">
      <alignment horizontal="center" vertical="top" wrapText="1"/>
    </xf>
    <xf numFmtId="0" fontId="20" fillId="7" borderId="6" xfId="0" applyFont="1" applyFill="1" applyBorder="1" applyAlignment="1">
      <alignment horizontal="center" vertical="top" wrapText="1"/>
    </xf>
    <xf numFmtId="0" fontId="20" fillId="7" borderId="4" xfId="0" applyFont="1" applyFill="1" applyBorder="1" applyAlignment="1">
      <alignment horizontal="center" vertical="top" wrapText="1"/>
    </xf>
    <xf numFmtId="0" fontId="20" fillId="7" borderId="36" xfId="0" applyFont="1" applyFill="1" applyBorder="1" applyAlignment="1">
      <alignment horizontal="center" vertical="top" wrapText="1"/>
    </xf>
    <xf numFmtId="0" fontId="11" fillId="10" borderId="42" xfId="1" applyFont="1" applyFill="1" applyBorder="1" applyAlignment="1">
      <alignment horizontal="center" vertical="center"/>
    </xf>
    <xf numFmtId="0" fontId="11" fillId="10" borderId="58" xfId="1" applyFont="1" applyFill="1" applyBorder="1" applyAlignment="1">
      <alignment horizontal="center" vertical="center"/>
    </xf>
    <xf numFmtId="0" fontId="32" fillId="12" borderId="4" xfId="0" applyFont="1" applyFill="1" applyBorder="1" applyAlignment="1">
      <alignment horizontal="right" vertical="center"/>
    </xf>
    <xf numFmtId="0" fontId="32" fillId="12" borderId="5" xfId="0" applyFont="1" applyFill="1" applyBorder="1" applyAlignment="1">
      <alignment horizontal="right" vertical="center"/>
    </xf>
    <xf numFmtId="0" fontId="32" fillId="12" borderId="81" xfId="0" applyFont="1" applyFill="1" applyBorder="1" applyAlignment="1">
      <alignment horizontal="right" vertical="center"/>
    </xf>
    <xf numFmtId="3" fontId="8" fillId="12" borderId="35" xfId="1" applyNumberFormat="1" applyFont="1" applyFill="1" applyBorder="1" applyAlignment="1">
      <alignment horizontal="center" vertical="center"/>
    </xf>
    <xf numFmtId="3" fontId="8" fillId="12" borderId="5" xfId="1" applyNumberFormat="1" applyFont="1" applyFill="1" applyBorder="1" applyAlignment="1">
      <alignment horizontal="center" vertical="center"/>
    </xf>
    <xf numFmtId="3" fontId="8" fillId="12" borderId="36" xfId="1" applyNumberFormat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left" vertical="center"/>
    </xf>
    <xf numFmtId="0" fontId="10" fillId="2" borderId="2" xfId="1" applyFont="1" applyFill="1" applyBorder="1" applyAlignment="1">
      <alignment horizontal="left" vertical="center"/>
    </xf>
    <xf numFmtId="0" fontId="10" fillId="2" borderId="7" xfId="1" applyFont="1" applyFill="1" applyBorder="1" applyAlignment="1">
      <alignment horizontal="center" vertical="center"/>
    </xf>
    <xf numFmtId="0" fontId="10" fillId="2" borderId="37" xfId="1" applyFont="1" applyFill="1" applyBorder="1" applyAlignment="1">
      <alignment horizontal="center" vertical="center"/>
    </xf>
    <xf numFmtId="0" fontId="11" fillId="10" borderId="39" xfId="1" applyFont="1" applyFill="1" applyBorder="1" applyAlignment="1">
      <alignment horizontal="center" vertical="center" shrinkToFit="1"/>
    </xf>
    <xf numFmtId="0" fontId="11" fillId="10" borderId="40" xfId="1" applyFont="1" applyFill="1" applyBorder="1" applyAlignment="1">
      <alignment horizontal="center" vertical="center" shrinkToFit="1"/>
    </xf>
    <xf numFmtId="0" fontId="11" fillId="10" borderId="43" xfId="1" applyFont="1" applyFill="1" applyBorder="1" applyAlignment="1">
      <alignment horizontal="center" vertical="center"/>
    </xf>
    <xf numFmtId="0" fontId="11" fillId="10" borderId="46" xfId="1" applyFont="1" applyFill="1" applyBorder="1" applyAlignment="1">
      <alignment horizontal="center" vertical="center"/>
    </xf>
    <xf numFmtId="0" fontId="11" fillId="10" borderId="24" xfId="1" applyFont="1" applyFill="1" applyBorder="1" applyAlignment="1">
      <alignment horizontal="center" vertical="center"/>
    </xf>
    <xf numFmtId="0" fontId="22" fillId="10" borderId="29" xfId="1" applyFont="1" applyFill="1" applyBorder="1" applyAlignment="1">
      <alignment horizontal="center" vertical="center"/>
    </xf>
    <xf numFmtId="0" fontId="22" fillId="10" borderId="27" xfId="1" applyFont="1" applyFill="1" applyBorder="1" applyAlignment="1">
      <alignment horizontal="center" vertical="center"/>
    </xf>
    <xf numFmtId="0" fontId="22" fillId="10" borderId="28" xfId="1" applyFont="1" applyFill="1" applyBorder="1" applyAlignment="1">
      <alignment horizontal="center" vertical="center"/>
    </xf>
    <xf numFmtId="0" fontId="11" fillId="10" borderId="46" xfId="1" applyFont="1" applyFill="1" applyBorder="1" applyAlignment="1">
      <alignment horizontal="center" vertical="center" wrapText="1"/>
    </xf>
    <xf numFmtId="0" fontId="11" fillId="10" borderId="24" xfId="1" applyFont="1" applyFill="1" applyBorder="1" applyAlignment="1">
      <alignment horizontal="center" vertical="center" wrapText="1"/>
    </xf>
    <xf numFmtId="0" fontId="11" fillId="10" borderId="47" xfId="1" applyFont="1" applyFill="1" applyBorder="1" applyAlignment="1">
      <alignment horizontal="center" vertical="center" wrapText="1"/>
    </xf>
    <xf numFmtId="0" fontId="35" fillId="11" borderId="1" xfId="0" applyFont="1" applyFill="1" applyBorder="1" applyAlignment="1">
      <alignment horizontal="center"/>
    </xf>
    <xf numFmtId="0" fontId="35" fillId="11" borderId="2" xfId="0" applyFont="1" applyFill="1" applyBorder="1" applyAlignment="1">
      <alignment horizontal="center"/>
    </xf>
    <xf numFmtId="0" fontId="35" fillId="11" borderId="3" xfId="0" applyFont="1" applyFill="1" applyBorder="1" applyAlignment="1">
      <alignment horizontal="center"/>
    </xf>
    <xf numFmtId="3" fontId="8" fillId="8" borderId="83" xfId="1" applyNumberFormat="1" applyFont="1" applyFill="1" applyBorder="1" applyAlignment="1">
      <alignment horizontal="center" vertical="center"/>
    </xf>
    <xf numFmtId="3" fontId="8" fillId="8" borderId="2" xfId="1" applyNumberFormat="1" applyFont="1" applyFill="1" applyBorder="1" applyAlignment="1">
      <alignment horizontal="center" vertical="center"/>
    </xf>
    <xf numFmtId="3" fontId="8" fillId="8" borderId="3" xfId="1" applyNumberFormat="1" applyFont="1" applyFill="1" applyBorder="1" applyAlignment="1">
      <alignment horizontal="center" vertical="center"/>
    </xf>
    <xf numFmtId="0" fontId="11" fillId="9" borderId="79" xfId="1" applyFont="1" applyFill="1" applyBorder="1" applyAlignment="1">
      <alignment horizontal="center" vertical="center"/>
    </xf>
    <xf numFmtId="0" fontId="11" fillId="9" borderId="80" xfId="1" applyFont="1" applyFill="1" applyBorder="1" applyAlignment="1">
      <alignment horizontal="center" vertical="center"/>
    </xf>
    <xf numFmtId="0" fontId="11" fillId="9" borderId="61" xfId="1" applyFont="1" applyFill="1" applyBorder="1" applyAlignment="1">
      <alignment horizontal="center" vertical="center"/>
    </xf>
    <xf numFmtId="0" fontId="11" fillId="9" borderId="10" xfId="1" applyFont="1" applyFill="1" applyBorder="1" applyAlignment="1">
      <alignment horizontal="center" vertical="center"/>
    </xf>
    <xf numFmtId="0" fontId="11" fillId="9" borderId="11" xfId="1" applyFont="1" applyFill="1" applyBorder="1" applyAlignment="1">
      <alignment horizontal="center" vertical="center"/>
    </xf>
    <xf numFmtId="0" fontId="11" fillId="9" borderId="35" xfId="1" applyFont="1" applyFill="1" applyBorder="1" applyAlignment="1">
      <alignment horizontal="center" vertical="center"/>
    </xf>
    <xf numFmtId="0" fontId="11" fillId="9" borderId="5" xfId="1" applyFont="1" applyFill="1" applyBorder="1" applyAlignment="1">
      <alignment horizontal="center" vertical="center"/>
    </xf>
    <xf numFmtId="0" fontId="11" fillId="9" borderId="81" xfId="1" applyFont="1" applyFill="1" applyBorder="1" applyAlignment="1">
      <alignment horizontal="center" vertical="center"/>
    </xf>
    <xf numFmtId="0" fontId="8" fillId="9" borderId="61" xfId="1" applyFont="1" applyFill="1" applyBorder="1" applyAlignment="1">
      <alignment horizontal="center" vertical="center" wrapText="1"/>
    </xf>
    <xf numFmtId="0" fontId="8" fillId="9" borderId="35" xfId="1" applyFont="1" applyFill="1" applyBorder="1" applyAlignment="1">
      <alignment horizontal="center" vertical="center" wrapText="1"/>
    </xf>
    <xf numFmtId="0" fontId="11" fillId="9" borderId="61" xfId="1" applyFont="1" applyFill="1" applyBorder="1" applyAlignment="1">
      <alignment horizontal="center" vertical="center" wrapText="1"/>
    </xf>
    <xf numFmtId="0" fontId="11" fillId="9" borderId="35" xfId="1" applyFont="1" applyFill="1" applyBorder="1" applyAlignment="1">
      <alignment horizontal="center" vertical="center" wrapText="1"/>
    </xf>
    <xf numFmtId="0" fontId="11" fillId="9" borderId="39" xfId="1" applyFont="1" applyFill="1" applyBorder="1" applyAlignment="1">
      <alignment horizontal="center" vertical="center" shrinkToFit="1"/>
    </xf>
    <xf numFmtId="0" fontId="11" fillId="9" borderId="67" xfId="1" applyFont="1" applyFill="1" applyBorder="1" applyAlignment="1">
      <alignment horizontal="center" vertical="center" shrinkToFit="1"/>
    </xf>
    <xf numFmtId="0" fontId="11" fillId="9" borderId="42" xfId="1" applyFont="1" applyFill="1" applyBorder="1" applyAlignment="1">
      <alignment horizontal="center" vertical="center"/>
    </xf>
    <xf numFmtId="0" fontId="11" fillId="9" borderId="58" xfId="1" applyFont="1" applyFill="1" applyBorder="1" applyAlignment="1">
      <alignment horizontal="center" vertical="center"/>
    </xf>
    <xf numFmtId="0" fontId="11" fillId="9" borderId="46" xfId="1" applyFont="1" applyFill="1" applyBorder="1" applyAlignment="1">
      <alignment horizontal="center" vertical="center"/>
    </xf>
    <xf numFmtId="0" fontId="11" fillId="9" borderId="47" xfId="1" applyFont="1" applyFill="1" applyBorder="1" applyAlignment="1">
      <alignment horizontal="center" vertical="center"/>
    </xf>
    <xf numFmtId="3" fontId="8" fillId="8" borderId="35" xfId="1" applyNumberFormat="1" applyFont="1" applyFill="1" applyBorder="1" applyAlignment="1">
      <alignment horizontal="center" vertical="center"/>
    </xf>
    <xf numFmtId="3" fontId="8" fillId="8" borderId="5" xfId="1" applyNumberFormat="1" applyFont="1" applyFill="1" applyBorder="1" applyAlignment="1">
      <alignment horizontal="center" vertical="center"/>
    </xf>
    <xf numFmtId="3" fontId="8" fillId="8" borderId="36" xfId="1" applyNumberFormat="1" applyFont="1" applyFill="1" applyBorder="1" applyAlignment="1">
      <alignment horizontal="center" vertical="center"/>
    </xf>
    <xf numFmtId="0" fontId="37" fillId="2" borderId="1" xfId="1" applyFont="1" applyFill="1" applyBorder="1" applyAlignment="1">
      <alignment horizontal="center" vertical="center"/>
    </xf>
    <xf numFmtId="0" fontId="37" fillId="2" borderId="2" xfId="1" applyFont="1" applyFill="1" applyBorder="1" applyAlignment="1">
      <alignment horizontal="center" vertical="center"/>
    </xf>
    <xf numFmtId="0" fontId="37" fillId="2" borderId="10" xfId="1" applyFont="1" applyFill="1" applyBorder="1" applyAlignment="1">
      <alignment horizontal="center" vertical="center"/>
    </xf>
    <xf numFmtId="0" fontId="37" fillId="2" borderId="37" xfId="1" applyFont="1" applyFill="1" applyBorder="1" applyAlignment="1">
      <alignment horizontal="center" vertical="center"/>
    </xf>
    <xf numFmtId="0" fontId="22" fillId="0" borderId="95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82" xfId="1" applyFont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10" xfId="0" applyFont="1" applyFill="1" applyBorder="1" applyAlignment="1">
      <alignment horizontal="center" vertical="center"/>
    </xf>
    <xf numFmtId="0" fontId="27" fillId="3" borderId="37" xfId="0" applyFont="1" applyFill="1" applyBorder="1" applyAlignment="1">
      <alignment horizontal="center" vertical="center"/>
    </xf>
    <xf numFmtId="0" fontId="27" fillId="3" borderId="4" xfId="0" applyFont="1" applyFill="1" applyBorder="1" applyAlignment="1">
      <alignment horizontal="center" vertical="center"/>
    </xf>
    <xf numFmtId="0" fontId="27" fillId="3" borderId="5" xfId="0" applyFont="1" applyFill="1" applyBorder="1" applyAlignment="1">
      <alignment horizontal="center" vertical="center"/>
    </xf>
    <xf numFmtId="0" fontId="27" fillId="3" borderId="36" xfId="0" applyFont="1" applyFill="1" applyBorder="1" applyAlignment="1">
      <alignment horizontal="center" vertical="center"/>
    </xf>
    <xf numFmtId="0" fontId="37" fillId="2" borderId="3" xfId="1" applyFont="1" applyFill="1" applyBorder="1" applyAlignment="1">
      <alignment horizontal="center" vertical="center"/>
    </xf>
    <xf numFmtId="0" fontId="10" fillId="2" borderId="69" xfId="1" applyFont="1" applyFill="1" applyBorder="1" applyAlignment="1">
      <alignment horizontal="center" vertical="center"/>
    </xf>
    <xf numFmtId="0" fontId="10" fillId="2" borderId="65" xfId="1" applyFont="1" applyFill="1" applyBorder="1" applyAlignment="1">
      <alignment horizontal="center" vertical="center"/>
    </xf>
    <xf numFmtId="0" fontId="10" fillId="0" borderId="18" xfId="1" applyFont="1" applyBorder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32" fillId="8" borderId="1" xfId="0" applyFont="1" applyFill="1" applyBorder="1" applyAlignment="1">
      <alignment horizontal="right" vertical="center"/>
    </xf>
    <xf numFmtId="0" fontId="32" fillId="8" borderId="2" xfId="0" applyFont="1" applyFill="1" applyBorder="1" applyAlignment="1">
      <alignment horizontal="right" vertical="center"/>
    </xf>
    <xf numFmtId="0" fontId="32" fillId="8" borderId="88" xfId="0" applyFont="1" applyFill="1" applyBorder="1" applyAlignment="1">
      <alignment horizontal="right" vertical="center"/>
    </xf>
    <xf numFmtId="0" fontId="11" fillId="10" borderId="67" xfId="1" applyFont="1" applyFill="1" applyBorder="1" applyAlignment="1">
      <alignment horizontal="center" vertical="center" shrinkToFit="1"/>
    </xf>
    <xf numFmtId="0" fontId="11" fillId="10" borderId="47" xfId="1" applyFont="1" applyFill="1" applyBorder="1" applyAlignment="1">
      <alignment horizontal="center" vertical="center"/>
    </xf>
    <xf numFmtId="0" fontId="11" fillId="0" borderId="26" xfId="1" applyFont="1" applyBorder="1" applyAlignment="1">
      <alignment horizontal="center" vertical="center"/>
    </xf>
    <xf numFmtId="0" fontId="11" fillId="0" borderId="27" xfId="1" applyFont="1" applyBorder="1" applyAlignment="1">
      <alignment horizontal="center" vertical="center"/>
    </xf>
    <xf numFmtId="0" fontId="10" fillId="2" borderId="7" xfId="1" applyFont="1" applyFill="1" applyBorder="1" applyAlignment="1">
      <alignment horizontal="left" vertical="center"/>
    </xf>
    <xf numFmtId="0" fontId="10" fillId="2" borderId="10" xfId="1" applyFont="1" applyFill="1" applyBorder="1" applyAlignment="1">
      <alignment horizontal="left" vertical="center"/>
    </xf>
    <xf numFmtId="0" fontId="21" fillId="3" borderId="25" xfId="1" applyFont="1" applyFill="1" applyBorder="1" applyAlignment="1">
      <alignment horizontal="left" vertical="center"/>
    </xf>
    <xf numFmtId="0" fontId="21" fillId="3" borderId="16" xfId="1" applyFont="1" applyFill="1" applyBorder="1" applyAlignment="1">
      <alignment horizontal="left" vertical="center"/>
    </xf>
    <xf numFmtId="0" fontId="6" fillId="0" borderId="46" xfId="1" applyFont="1" applyBorder="1" applyAlignment="1">
      <alignment horizontal="center" vertical="center"/>
    </xf>
    <xf numFmtId="0" fontId="6" fillId="0" borderId="24" xfId="1" applyFont="1" applyBorder="1" applyAlignment="1">
      <alignment horizontal="center" vertical="center"/>
    </xf>
    <xf numFmtId="0" fontId="6" fillId="0" borderId="30" xfId="1" applyFont="1" applyBorder="1" applyAlignment="1">
      <alignment horizontal="center" vertical="center"/>
    </xf>
    <xf numFmtId="0" fontId="12" fillId="0" borderId="19" xfId="1" applyFont="1" applyBorder="1" applyAlignment="1">
      <alignment horizontal="left" vertical="center" wrapText="1"/>
    </xf>
    <xf numFmtId="0" fontId="12" fillId="0" borderId="0" xfId="1" applyFont="1" applyAlignment="1">
      <alignment horizontal="left" vertical="center" wrapText="1"/>
    </xf>
    <xf numFmtId="0" fontId="12" fillId="0" borderId="6" xfId="1" applyFont="1" applyBorder="1" applyAlignment="1">
      <alignment horizontal="left" vertical="center" wrapText="1"/>
    </xf>
    <xf numFmtId="0" fontId="12" fillId="0" borderId="4" xfId="1" applyFont="1" applyBorder="1" applyAlignment="1">
      <alignment horizontal="left" vertical="center" wrapText="1"/>
    </xf>
    <xf numFmtId="0" fontId="12" fillId="0" borderId="5" xfId="1" applyFont="1" applyBorder="1" applyAlignment="1">
      <alignment horizontal="left" vertical="center" wrapText="1"/>
    </xf>
    <xf numFmtId="0" fontId="12" fillId="0" borderId="36" xfId="1" applyFont="1" applyBorder="1" applyAlignment="1">
      <alignment horizontal="left" vertical="center" wrapText="1"/>
    </xf>
    <xf numFmtId="0" fontId="10" fillId="0" borderId="35" xfId="1" applyFont="1" applyBorder="1" applyAlignment="1">
      <alignment horizontal="left" vertical="center" wrapText="1"/>
    </xf>
    <xf numFmtId="0" fontId="10" fillId="0" borderId="5" xfId="1" applyFont="1" applyBorder="1" applyAlignment="1">
      <alignment horizontal="left" vertical="center" wrapText="1"/>
    </xf>
    <xf numFmtId="0" fontId="9" fillId="0" borderId="20" xfId="1" applyFont="1" applyBorder="1" applyAlignment="1">
      <alignment horizontal="center" vertical="center"/>
    </xf>
    <xf numFmtId="0" fontId="9" fillId="0" borderId="18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8" fillId="0" borderId="4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0" fontId="8" fillId="0" borderId="51" xfId="1" applyFont="1" applyBorder="1" applyAlignment="1">
      <alignment horizontal="center" vertical="center"/>
    </xf>
    <xf numFmtId="0" fontId="8" fillId="0" borderId="29" xfId="1" applyFont="1" applyBorder="1" applyAlignment="1">
      <alignment horizontal="center" vertical="center"/>
    </xf>
    <xf numFmtId="0" fontId="8" fillId="0" borderId="27" xfId="1" applyFont="1" applyBorder="1" applyAlignment="1">
      <alignment horizontal="center" vertical="center"/>
    </xf>
    <xf numFmtId="0" fontId="8" fillId="0" borderId="28" xfId="1" applyFont="1" applyBorder="1" applyAlignment="1">
      <alignment horizontal="center" vertical="center"/>
    </xf>
    <xf numFmtId="0" fontId="9" fillId="0" borderId="21" xfId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/>
    </xf>
    <xf numFmtId="0" fontId="9" fillId="0" borderId="30" xfId="1" applyFont="1" applyBorder="1" applyAlignment="1">
      <alignment horizontal="center" vertical="center"/>
    </xf>
    <xf numFmtId="49" fontId="36" fillId="2" borderId="72" xfId="1" applyNumberFormat="1" applyFont="1" applyFill="1" applyBorder="1" applyAlignment="1">
      <alignment horizontal="center" vertical="center" wrapText="1"/>
    </xf>
    <xf numFmtId="49" fontId="36" fillId="2" borderId="13" xfId="1" applyNumberFormat="1" applyFont="1" applyFill="1" applyBorder="1" applyAlignment="1">
      <alignment horizontal="center" vertical="center" wrapText="1"/>
    </xf>
    <xf numFmtId="49" fontId="36" fillId="2" borderId="32" xfId="1" applyNumberFormat="1" applyFont="1" applyFill="1" applyBorder="1" applyAlignment="1">
      <alignment horizontal="center" vertical="center" wrapText="1"/>
    </xf>
    <xf numFmtId="0" fontId="32" fillId="8" borderId="4" xfId="0" applyFont="1" applyFill="1" applyBorder="1" applyAlignment="1">
      <alignment horizontal="right" vertical="center"/>
    </xf>
    <xf numFmtId="0" fontId="32" fillId="8" borderId="5" xfId="0" applyFont="1" applyFill="1" applyBorder="1" applyAlignment="1">
      <alignment horizontal="right" vertical="center"/>
    </xf>
    <xf numFmtId="0" fontId="32" fillId="8" borderId="81" xfId="0" applyFont="1" applyFill="1" applyBorder="1" applyAlignment="1">
      <alignment horizontal="right" vertical="center"/>
    </xf>
    <xf numFmtId="0" fontId="14" fillId="0" borderId="64" xfId="0" applyFont="1" applyBorder="1" applyAlignment="1">
      <alignment horizontal="center" vertical="center" wrapText="1"/>
    </xf>
    <xf numFmtId="0" fontId="14" fillId="0" borderId="65" xfId="0" applyFont="1" applyBorder="1" applyAlignment="1">
      <alignment horizontal="center" vertical="center" wrapText="1"/>
    </xf>
    <xf numFmtId="0" fontId="14" fillId="0" borderId="66" xfId="0" applyFont="1" applyBorder="1" applyAlignment="1">
      <alignment horizontal="center" vertical="center" wrapText="1"/>
    </xf>
    <xf numFmtId="3" fontId="15" fillId="0" borderId="64" xfId="0" applyNumberFormat="1" applyFont="1" applyBorder="1" applyAlignment="1">
      <alignment horizontal="center" vertical="center"/>
    </xf>
    <xf numFmtId="3" fontId="15" fillId="0" borderId="65" xfId="0" applyNumberFormat="1" applyFont="1" applyBorder="1" applyAlignment="1">
      <alignment horizontal="center" vertical="center"/>
    </xf>
    <xf numFmtId="3" fontId="15" fillId="0" borderId="66" xfId="0" applyNumberFormat="1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3" fontId="15" fillId="0" borderId="49" xfId="0" applyNumberFormat="1" applyFont="1" applyBorder="1" applyAlignment="1">
      <alignment horizontal="center" vertical="center"/>
    </xf>
    <xf numFmtId="3" fontId="15" fillId="0" borderId="50" xfId="0" applyNumberFormat="1" applyFont="1" applyBorder="1" applyAlignment="1">
      <alignment horizontal="center" vertical="center"/>
    </xf>
    <xf numFmtId="3" fontId="15" fillId="0" borderId="51" xfId="0" applyNumberFormat="1" applyFont="1" applyBorder="1" applyAlignment="1">
      <alignment horizontal="center" vertical="center"/>
    </xf>
    <xf numFmtId="3" fontId="44" fillId="0" borderId="49" xfId="0" applyNumberFormat="1" applyFont="1" applyBorder="1" applyAlignment="1">
      <alignment horizontal="center" vertical="center"/>
    </xf>
    <xf numFmtId="3" fontId="44" fillId="0" borderId="50" xfId="0" applyNumberFormat="1" applyFont="1" applyBorder="1" applyAlignment="1">
      <alignment horizontal="center" vertical="center"/>
    </xf>
    <xf numFmtId="3" fontId="44" fillId="0" borderId="51" xfId="0" applyNumberFormat="1" applyFont="1" applyBorder="1" applyAlignment="1">
      <alignment horizontal="center" vertical="center"/>
    </xf>
    <xf numFmtId="3" fontId="44" fillId="0" borderId="52" xfId="0" applyNumberFormat="1" applyFont="1" applyBorder="1" applyAlignment="1">
      <alignment horizontal="center" vertical="center"/>
    </xf>
    <xf numFmtId="3" fontId="44" fillId="0" borderId="53" xfId="0" applyNumberFormat="1" applyFont="1" applyBorder="1" applyAlignment="1">
      <alignment horizontal="center" vertical="center"/>
    </xf>
    <xf numFmtId="3" fontId="44" fillId="0" borderId="54" xfId="0" applyNumberFormat="1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 wrapText="1"/>
    </xf>
    <xf numFmtId="0" fontId="14" fillId="0" borderId="53" xfId="0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81" xfId="0" applyFont="1" applyBorder="1" applyAlignment="1">
      <alignment horizontal="center" vertical="center" wrapText="1"/>
    </xf>
    <xf numFmtId="3" fontId="15" fillId="0" borderId="52" xfId="0" applyNumberFormat="1" applyFont="1" applyBorder="1" applyAlignment="1">
      <alignment horizontal="center" vertical="center"/>
    </xf>
    <xf numFmtId="3" fontId="15" fillId="0" borderId="53" xfId="0" applyNumberFormat="1" applyFont="1" applyBorder="1" applyAlignment="1">
      <alignment horizontal="center" vertical="center"/>
    </xf>
    <xf numFmtId="3" fontId="15" fillId="0" borderId="54" xfId="0" applyNumberFormat="1" applyFont="1" applyBorder="1" applyAlignment="1">
      <alignment horizontal="center" vertical="center"/>
    </xf>
    <xf numFmtId="0" fontId="11" fillId="10" borderId="18" xfId="1" applyFont="1" applyFill="1" applyBorder="1" applyAlignment="1">
      <alignment horizontal="center" vertical="center"/>
    </xf>
    <xf numFmtId="0" fontId="25" fillId="3" borderId="62" xfId="0" applyFont="1" applyFill="1" applyBorder="1" applyAlignment="1">
      <alignment horizontal="center" vertical="center"/>
    </xf>
    <xf numFmtId="0" fontId="25" fillId="3" borderId="63" xfId="0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center" vertical="center"/>
    </xf>
    <xf numFmtId="0" fontId="26" fillId="8" borderId="2" xfId="0" applyFont="1" applyFill="1" applyBorder="1" applyAlignment="1">
      <alignment horizontal="center" vertical="center"/>
    </xf>
    <xf numFmtId="0" fontId="26" fillId="8" borderId="3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center" vertical="center"/>
    </xf>
    <xf numFmtId="0" fontId="24" fillId="10" borderId="2" xfId="0" applyFont="1" applyFill="1" applyBorder="1" applyAlignment="1">
      <alignment horizontal="center" vertical="center"/>
    </xf>
    <xf numFmtId="0" fontId="24" fillId="10" borderId="3" xfId="0" applyFont="1" applyFill="1" applyBorder="1" applyAlignment="1">
      <alignment horizontal="center" vertical="center"/>
    </xf>
    <xf numFmtId="3" fontId="44" fillId="0" borderId="64" xfId="0" applyNumberFormat="1" applyFont="1" applyBorder="1" applyAlignment="1">
      <alignment horizontal="center" vertical="center"/>
    </xf>
    <xf numFmtId="3" fontId="44" fillId="0" borderId="65" xfId="0" applyNumberFormat="1" applyFont="1" applyBorder="1" applyAlignment="1">
      <alignment horizontal="center" vertical="center"/>
    </xf>
    <xf numFmtId="3" fontId="44" fillId="0" borderId="66" xfId="0" applyNumberFormat="1" applyFont="1" applyBorder="1" applyAlignment="1">
      <alignment horizontal="center" vertical="center"/>
    </xf>
  </cellXfs>
  <cellStyles count="5">
    <cellStyle name="Comma" xfId="4" builtinId="3"/>
    <cellStyle name="Normal" xfId="0" builtinId="0"/>
    <cellStyle name="Normal 2" xfId="3" xr:uid="{741B3FD4-6F1C-4524-862D-39F5EE67F16F}"/>
    <cellStyle name="Normal 3" xfId="2" xr:uid="{4086D8CE-5742-44E7-8A98-A9EA9AD67D4C}"/>
    <cellStyle name="표준_Subway Vtnam 봉제작지" xfId="1" xr:uid="{57334F7E-103B-451E-9AC1-D71A7F7C7789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667040</xdr:colOff>
      <xdr:row>49</xdr:row>
      <xdr:rowOff>154755</xdr:rowOff>
    </xdr:from>
    <xdr:to>
      <xdr:col>16</xdr:col>
      <xdr:colOff>620035</xdr:colOff>
      <xdr:row>56</xdr:row>
      <xdr:rowOff>121226</xdr:rowOff>
    </xdr:to>
    <xdr:pic>
      <xdr:nvPicPr>
        <xdr:cNvPr id="3" name="그림 4">
          <a:extLst>
            <a:ext uri="{FF2B5EF4-FFF2-40B4-BE49-F238E27FC236}">
              <a16:creationId xmlns:a16="http://schemas.microsoft.com/office/drawing/2014/main" id="{9035B2A0-1A86-4D45-BC1C-9F20E7FF5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56131" y="32389664"/>
          <a:ext cx="3147911" cy="2838114"/>
        </a:xfrm>
        <a:prstGeom prst="rect">
          <a:avLst/>
        </a:prstGeom>
      </xdr:spPr>
    </xdr:pic>
    <xdr:clientData/>
  </xdr:twoCellAnchor>
  <xdr:twoCellAnchor>
    <xdr:from>
      <xdr:col>7</xdr:col>
      <xdr:colOff>155863</xdr:colOff>
      <xdr:row>49</xdr:row>
      <xdr:rowOff>7792</xdr:rowOff>
    </xdr:from>
    <xdr:to>
      <xdr:col>14</xdr:col>
      <xdr:colOff>568326</xdr:colOff>
      <xdr:row>50</xdr:row>
      <xdr:rowOff>346364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FB4E948-3D2F-4812-AC4C-214DA2A6C461}"/>
            </a:ext>
          </a:extLst>
        </xdr:cNvPr>
        <xdr:cNvSpPr txBox="1"/>
      </xdr:nvSpPr>
      <xdr:spPr>
        <a:xfrm>
          <a:off x="10800772" y="32242701"/>
          <a:ext cx="9856645" cy="8003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8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BACK NECKTAPE (SHOULDER TO SHOULDER)</a:t>
          </a:r>
          <a:endParaRPr lang="ko-KR" altLang="en-US" sz="2800" b="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978766</xdr:colOff>
      <xdr:row>50</xdr:row>
      <xdr:rowOff>296042</xdr:rowOff>
    </xdr:from>
    <xdr:to>
      <xdr:col>14</xdr:col>
      <xdr:colOff>314902</xdr:colOff>
      <xdr:row>53</xdr:row>
      <xdr:rowOff>198292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1530B94-D57A-43B7-B743-6EA64E5E4011}"/>
            </a:ext>
          </a:extLst>
        </xdr:cNvPr>
        <xdr:cNvSpPr txBox="1"/>
      </xdr:nvSpPr>
      <xdr:spPr>
        <a:xfrm>
          <a:off x="10284402" y="32992769"/>
          <a:ext cx="10119591" cy="1183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800" b="1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NECK BAND: </a:t>
          </a:r>
          <a:r>
            <a:rPr lang="en-US" sz="2800" b="1" baseline="0">
              <a:solidFill>
                <a:srgbClr val="FF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5/8</a:t>
          </a:r>
          <a:r>
            <a:rPr lang="en-US" sz="2800" b="1">
              <a:solidFill>
                <a:srgbClr val="FF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"</a:t>
          </a:r>
          <a:r>
            <a:rPr lang="en-US" sz="2800" b="0">
              <a:solidFill>
                <a:srgbClr val="FF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2800" b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SET IN</a:t>
          </a:r>
          <a:r>
            <a:rPr lang="en-US" altLang="ko-KR" sz="2800" b="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LLEVA 1X1 RIB </a:t>
          </a:r>
        </a:p>
        <a:p>
          <a:pPr algn="ctr"/>
          <a:r>
            <a:rPr lang="en-US" altLang="ko-KR" sz="2800" b="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 SOBRECOSTURA EN EL CUELLO</a:t>
          </a:r>
          <a:endParaRPr lang="ko-KR" altLang="en-US" sz="2800" b="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365028</xdr:colOff>
      <xdr:row>52</xdr:row>
      <xdr:rowOff>362796</xdr:rowOff>
    </xdr:from>
    <xdr:to>
      <xdr:col>13</xdr:col>
      <xdr:colOff>819728</xdr:colOff>
      <xdr:row>55</xdr:row>
      <xdr:rowOff>245627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CF98BBC-33B8-4FBC-B342-3323BCCA07D0}"/>
            </a:ext>
          </a:extLst>
        </xdr:cNvPr>
        <xdr:cNvSpPr txBox="1"/>
      </xdr:nvSpPr>
      <xdr:spPr>
        <a:xfrm>
          <a:off x="9670664" y="33913887"/>
          <a:ext cx="9898882" cy="979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8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STITCH (RUEDO DEL FONDO)</a:t>
          </a:r>
          <a:br>
            <a:rPr lang="en-US" altLang="ko-KR" sz="28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altLang="ko-KR" sz="2800" b="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3/4" ALTURA, DNTS 2N 1/4"</a:t>
          </a:r>
          <a:endParaRPr lang="ko-KR" altLang="en-US" sz="2800" b="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172235</xdr:colOff>
      <xdr:row>55</xdr:row>
      <xdr:rowOff>190556</xdr:rowOff>
    </xdr:from>
    <xdr:to>
      <xdr:col>13</xdr:col>
      <xdr:colOff>544656</xdr:colOff>
      <xdr:row>57</xdr:row>
      <xdr:rowOff>190500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77B4984-96AB-45EF-8F5A-A4948B7568C6}"/>
            </a:ext>
          </a:extLst>
        </xdr:cNvPr>
        <xdr:cNvSpPr txBox="1"/>
      </xdr:nvSpPr>
      <xdr:spPr>
        <a:xfrm>
          <a:off x="9477871" y="34838465"/>
          <a:ext cx="9816603" cy="8889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800" b="1" baseline="0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UNION DE CUELLO 1 1/4"</a:t>
          </a:r>
        </a:p>
      </xdr:txBody>
    </xdr:sp>
    <xdr:clientData/>
  </xdr:twoCellAnchor>
  <xdr:twoCellAnchor editAs="oneCell">
    <xdr:from>
      <xdr:col>9</xdr:col>
      <xdr:colOff>44657</xdr:colOff>
      <xdr:row>56</xdr:row>
      <xdr:rowOff>393745</xdr:rowOff>
    </xdr:from>
    <xdr:to>
      <xdr:col>17</xdr:col>
      <xdr:colOff>504481</xdr:colOff>
      <xdr:row>85</xdr:row>
      <xdr:rowOff>123825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FB83885-92CD-43F4-8D02-27AB5284E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64384" y="37489290"/>
          <a:ext cx="11921286" cy="6787528"/>
        </a:xfrm>
        <a:prstGeom prst="rect">
          <a:avLst/>
        </a:prstGeom>
      </xdr:spPr>
    </xdr:pic>
    <xdr:clientData/>
  </xdr:twoCellAnchor>
  <xdr:twoCellAnchor editAs="oneCell">
    <xdr:from>
      <xdr:col>0</xdr:col>
      <xdr:colOff>776432</xdr:colOff>
      <xdr:row>62</xdr:row>
      <xdr:rowOff>213303</xdr:rowOff>
    </xdr:from>
    <xdr:to>
      <xdr:col>3</xdr:col>
      <xdr:colOff>1526107</xdr:colOff>
      <xdr:row>84</xdr:row>
      <xdr:rowOff>69849</xdr:rowOff>
    </xdr:to>
    <xdr:pic>
      <xdr:nvPicPr>
        <xdr:cNvPr id="9" name="그림 20">
          <a:extLst>
            <a:ext uri="{FF2B5EF4-FFF2-40B4-BE49-F238E27FC236}">
              <a16:creationId xmlns:a16="http://schemas.microsoft.com/office/drawing/2014/main" id="{C28C2425-4600-4AE3-8CF0-D2B90AAFBD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26385"/>
        <a:stretch/>
      </xdr:blipFill>
      <xdr:spPr>
        <a:xfrm>
          <a:off x="776432" y="24819553"/>
          <a:ext cx="5633402" cy="3945947"/>
        </a:xfrm>
        <a:prstGeom prst="rect">
          <a:avLst/>
        </a:prstGeom>
      </xdr:spPr>
    </xdr:pic>
    <xdr:clientData/>
  </xdr:twoCellAnchor>
  <xdr:twoCellAnchor editAs="oneCell">
    <xdr:from>
      <xdr:col>4</xdr:col>
      <xdr:colOff>669285</xdr:colOff>
      <xdr:row>62</xdr:row>
      <xdr:rowOff>208973</xdr:rowOff>
    </xdr:from>
    <xdr:to>
      <xdr:col>7</xdr:col>
      <xdr:colOff>685800</xdr:colOff>
      <xdr:row>85</xdr:row>
      <xdr:rowOff>47718</xdr:rowOff>
    </xdr:to>
    <xdr:pic>
      <xdr:nvPicPr>
        <xdr:cNvPr id="10" name="그림 21">
          <a:extLst>
            <a:ext uri="{FF2B5EF4-FFF2-40B4-BE49-F238E27FC236}">
              <a16:creationId xmlns:a16="http://schemas.microsoft.com/office/drawing/2014/main" id="{EB76320B-DA22-4D7D-9519-56DA5413E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19285" y="24815223"/>
          <a:ext cx="4302765" cy="4109120"/>
        </a:xfrm>
        <a:prstGeom prst="rect">
          <a:avLst/>
        </a:prstGeom>
      </xdr:spPr>
    </xdr:pic>
    <xdr:clientData/>
  </xdr:twoCellAnchor>
  <xdr:oneCellAnchor>
    <xdr:from>
      <xdr:col>3</xdr:col>
      <xdr:colOff>34636</xdr:colOff>
      <xdr:row>23</xdr:row>
      <xdr:rowOff>750455</xdr:rowOff>
    </xdr:from>
    <xdr:ext cx="1513957" cy="1108364"/>
    <xdr:pic>
      <xdr:nvPicPr>
        <xdr:cNvPr id="11" name="그림 16">
          <a:extLst>
            <a:ext uri="{FF2B5EF4-FFF2-40B4-BE49-F238E27FC236}">
              <a16:creationId xmlns:a16="http://schemas.microsoft.com/office/drawing/2014/main" id="{FF0CF668-35B9-4859-8032-8F1524835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1454" y="20643273"/>
          <a:ext cx="1513957" cy="1108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35213</xdr:colOff>
      <xdr:row>24</xdr:row>
      <xdr:rowOff>622916</xdr:rowOff>
    </xdr:from>
    <xdr:ext cx="1504197" cy="1235901"/>
    <xdr:pic>
      <xdr:nvPicPr>
        <xdr:cNvPr id="12" name="그림 21">
          <a:extLst>
            <a:ext uri="{FF2B5EF4-FFF2-40B4-BE49-F238E27FC236}">
              <a16:creationId xmlns:a16="http://schemas.microsoft.com/office/drawing/2014/main" id="{89A4A880-C9A8-4E10-A888-5EC1B76E3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2031" y="23067280"/>
          <a:ext cx="1504197" cy="1235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62922</xdr:colOff>
      <xdr:row>12</xdr:row>
      <xdr:rowOff>461820</xdr:rowOff>
    </xdr:from>
    <xdr:ext cx="1484169" cy="1110052"/>
    <xdr:pic>
      <xdr:nvPicPr>
        <xdr:cNvPr id="13" name="그림 17">
          <a:extLst>
            <a:ext uri="{FF2B5EF4-FFF2-40B4-BE49-F238E27FC236}">
              <a16:creationId xmlns:a16="http://schemas.microsoft.com/office/drawing/2014/main" id="{9CA8B957-7551-4271-9692-7A23C9089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9740" y="4583547"/>
          <a:ext cx="1484169" cy="11100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115454</xdr:colOff>
      <xdr:row>13</xdr:row>
      <xdr:rowOff>455036</xdr:rowOff>
    </xdr:from>
    <xdr:ext cx="1373909" cy="1219554"/>
    <xdr:pic>
      <xdr:nvPicPr>
        <xdr:cNvPr id="14" name="그림 18">
          <a:extLst>
            <a:ext uri="{FF2B5EF4-FFF2-40B4-BE49-F238E27FC236}">
              <a16:creationId xmlns:a16="http://schemas.microsoft.com/office/drawing/2014/main" id="{FCC87FB4-CF2F-4C4D-BDBD-1F94806F2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2272" y="6620309"/>
          <a:ext cx="1373909" cy="12195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86591</xdr:colOff>
      <xdr:row>14</xdr:row>
      <xdr:rowOff>373634</xdr:rowOff>
    </xdr:from>
    <xdr:ext cx="1402773" cy="1289697"/>
    <xdr:pic>
      <xdr:nvPicPr>
        <xdr:cNvPr id="15" name="그림 19">
          <a:extLst>
            <a:ext uri="{FF2B5EF4-FFF2-40B4-BE49-F238E27FC236}">
              <a16:creationId xmlns:a16="http://schemas.microsoft.com/office/drawing/2014/main" id="{68524516-A2F1-4667-97DB-9EAA27FA1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3409" y="8582452"/>
          <a:ext cx="1402773" cy="1289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78221</xdr:colOff>
      <xdr:row>15</xdr:row>
      <xdr:rowOff>487684</xdr:rowOff>
    </xdr:from>
    <xdr:ext cx="1425850" cy="1059408"/>
    <xdr:pic>
      <xdr:nvPicPr>
        <xdr:cNvPr id="16" name="그림 20">
          <a:extLst>
            <a:ext uri="{FF2B5EF4-FFF2-40B4-BE49-F238E27FC236}">
              <a16:creationId xmlns:a16="http://schemas.microsoft.com/office/drawing/2014/main" id="{B8DF3FC8-876C-4E43-8C57-E124ECE71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5039" y="10740048"/>
          <a:ext cx="1425850" cy="1059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74467</xdr:colOff>
      <xdr:row>16</xdr:row>
      <xdr:rowOff>404091</xdr:rowOff>
    </xdr:from>
    <xdr:ext cx="1481923" cy="1154546"/>
    <xdr:pic>
      <xdr:nvPicPr>
        <xdr:cNvPr id="17" name="그림 22">
          <a:extLst>
            <a:ext uri="{FF2B5EF4-FFF2-40B4-BE49-F238E27FC236}">
              <a16:creationId xmlns:a16="http://schemas.microsoft.com/office/drawing/2014/main" id="{D4147973-D5DE-407E-81FF-5B60CFCD5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1285" y="12700000"/>
          <a:ext cx="1481923" cy="11545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118629</xdr:colOff>
      <xdr:row>17</xdr:row>
      <xdr:rowOff>465406</xdr:rowOff>
    </xdr:from>
    <xdr:ext cx="1402810" cy="1167766"/>
    <xdr:pic>
      <xdr:nvPicPr>
        <xdr:cNvPr id="18" name="그림 23">
          <a:extLst>
            <a:ext uri="{FF2B5EF4-FFF2-40B4-BE49-F238E27FC236}">
              <a16:creationId xmlns:a16="http://schemas.microsoft.com/office/drawing/2014/main" id="{A0A0E3B2-547F-4BD2-8F1D-D49A3030B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5447" y="14804861"/>
          <a:ext cx="1402810" cy="11677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60323</xdr:colOff>
      <xdr:row>18</xdr:row>
      <xdr:rowOff>494681</xdr:rowOff>
    </xdr:from>
    <xdr:ext cx="1465426" cy="1111423"/>
    <xdr:pic>
      <xdr:nvPicPr>
        <xdr:cNvPr id="19" name="그림 24">
          <a:extLst>
            <a:ext uri="{FF2B5EF4-FFF2-40B4-BE49-F238E27FC236}">
              <a16:creationId xmlns:a16="http://schemas.microsoft.com/office/drawing/2014/main" id="{64A0493B-253C-4B3A-889F-713E3FCA4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7141" y="16877681"/>
          <a:ext cx="1465426" cy="11114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9</xdr:col>
      <xdr:colOff>842817</xdr:colOff>
      <xdr:row>90</xdr:row>
      <xdr:rowOff>57727</xdr:rowOff>
    </xdr:from>
    <xdr:to>
      <xdr:col>12</xdr:col>
      <xdr:colOff>828097</xdr:colOff>
      <xdr:row>90</xdr:row>
      <xdr:rowOff>2979264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0B38B87-69AA-99AC-4A38-B73C81033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362544" y="45754636"/>
          <a:ext cx="4006273" cy="2918362"/>
        </a:xfrm>
        <a:prstGeom prst="rect">
          <a:avLst/>
        </a:prstGeom>
      </xdr:spPr>
    </xdr:pic>
    <xdr:clientData/>
  </xdr:twoCellAnchor>
  <xdr:twoCellAnchor editAs="oneCell">
    <xdr:from>
      <xdr:col>9</xdr:col>
      <xdr:colOff>831273</xdr:colOff>
      <xdr:row>91</xdr:row>
      <xdr:rowOff>80818</xdr:rowOff>
    </xdr:from>
    <xdr:to>
      <xdr:col>12</xdr:col>
      <xdr:colOff>819728</xdr:colOff>
      <xdr:row>91</xdr:row>
      <xdr:rowOff>3002355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DE04D1D-E6E3-40F5-AE77-EC6467430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351000" y="48848818"/>
          <a:ext cx="4006273" cy="2918362"/>
        </a:xfrm>
        <a:prstGeom prst="rect">
          <a:avLst/>
        </a:prstGeom>
      </xdr:spPr>
    </xdr:pic>
    <xdr:clientData/>
  </xdr:twoCellAnchor>
  <xdr:twoCellAnchor editAs="oneCell">
    <xdr:from>
      <xdr:col>9</xdr:col>
      <xdr:colOff>831273</xdr:colOff>
      <xdr:row>92</xdr:row>
      <xdr:rowOff>80818</xdr:rowOff>
    </xdr:from>
    <xdr:to>
      <xdr:col>12</xdr:col>
      <xdr:colOff>819728</xdr:colOff>
      <xdr:row>92</xdr:row>
      <xdr:rowOff>3002355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3A84574-64D6-4C05-96F2-20B2D9DE9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351000" y="51919909"/>
          <a:ext cx="4006273" cy="2918362"/>
        </a:xfrm>
        <a:prstGeom prst="rect">
          <a:avLst/>
        </a:prstGeom>
      </xdr:spPr>
    </xdr:pic>
    <xdr:clientData/>
  </xdr:twoCellAnchor>
  <xdr:twoCellAnchor editAs="oneCell">
    <xdr:from>
      <xdr:col>9</xdr:col>
      <xdr:colOff>831273</xdr:colOff>
      <xdr:row>93</xdr:row>
      <xdr:rowOff>80818</xdr:rowOff>
    </xdr:from>
    <xdr:to>
      <xdr:col>12</xdr:col>
      <xdr:colOff>819728</xdr:colOff>
      <xdr:row>93</xdr:row>
      <xdr:rowOff>3002355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1EA3C70-7A71-4514-B698-F689BB084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351000" y="54991000"/>
          <a:ext cx="4006273" cy="2918362"/>
        </a:xfrm>
        <a:prstGeom prst="rect">
          <a:avLst/>
        </a:prstGeom>
      </xdr:spPr>
    </xdr:pic>
    <xdr:clientData/>
  </xdr:twoCellAnchor>
  <xdr:twoCellAnchor editAs="oneCell">
    <xdr:from>
      <xdr:col>9</xdr:col>
      <xdr:colOff>831273</xdr:colOff>
      <xdr:row>94</xdr:row>
      <xdr:rowOff>80818</xdr:rowOff>
    </xdr:from>
    <xdr:to>
      <xdr:col>12</xdr:col>
      <xdr:colOff>819728</xdr:colOff>
      <xdr:row>94</xdr:row>
      <xdr:rowOff>3002355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D925880-1DD2-44EA-A26D-AEBDDDAEC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351000" y="58062091"/>
          <a:ext cx="4006273" cy="2918362"/>
        </a:xfrm>
        <a:prstGeom prst="rect">
          <a:avLst/>
        </a:prstGeom>
      </xdr:spPr>
    </xdr:pic>
    <xdr:clientData/>
  </xdr:twoCellAnchor>
  <xdr:twoCellAnchor editAs="oneCell">
    <xdr:from>
      <xdr:col>9</xdr:col>
      <xdr:colOff>831273</xdr:colOff>
      <xdr:row>95</xdr:row>
      <xdr:rowOff>80818</xdr:rowOff>
    </xdr:from>
    <xdr:to>
      <xdr:col>12</xdr:col>
      <xdr:colOff>819728</xdr:colOff>
      <xdr:row>95</xdr:row>
      <xdr:rowOff>3002355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4253934-3729-4197-9207-72A6434A7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351000" y="61133182"/>
          <a:ext cx="4006273" cy="2918362"/>
        </a:xfrm>
        <a:prstGeom prst="rect">
          <a:avLst/>
        </a:prstGeom>
      </xdr:spPr>
    </xdr:pic>
    <xdr:clientData/>
  </xdr:twoCellAnchor>
  <xdr:twoCellAnchor editAs="oneCell">
    <xdr:from>
      <xdr:col>9</xdr:col>
      <xdr:colOff>831273</xdr:colOff>
      <xdr:row>96</xdr:row>
      <xdr:rowOff>80818</xdr:rowOff>
    </xdr:from>
    <xdr:to>
      <xdr:col>12</xdr:col>
      <xdr:colOff>819728</xdr:colOff>
      <xdr:row>96</xdr:row>
      <xdr:rowOff>3002355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4F24BF5-D3D4-4B27-8286-183EF7842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351000" y="64204273"/>
          <a:ext cx="4006273" cy="2918362"/>
        </a:xfrm>
        <a:prstGeom prst="rect">
          <a:avLst/>
        </a:prstGeom>
      </xdr:spPr>
    </xdr:pic>
    <xdr:clientData/>
  </xdr:twoCellAnchor>
  <xdr:twoCellAnchor editAs="oneCell">
    <xdr:from>
      <xdr:col>9</xdr:col>
      <xdr:colOff>831273</xdr:colOff>
      <xdr:row>97</xdr:row>
      <xdr:rowOff>80818</xdr:rowOff>
    </xdr:from>
    <xdr:to>
      <xdr:col>12</xdr:col>
      <xdr:colOff>819728</xdr:colOff>
      <xdr:row>97</xdr:row>
      <xdr:rowOff>3002355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099F16F-84D1-496F-9E81-A051809FA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351000" y="67275363"/>
          <a:ext cx="4006273" cy="2918362"/>
        </a:xfrm>
        <a:prstGeom prst="rect">
          <a:avLst/>
        </a:prstGeom>
      </xdr:spPr>
    </xdr:pic>
    <xdr:clientData/>
  </xdr:twoCellAnchor>
  <xdr:twoCellAnchor editAs="oneCell">
    <xdr:from>
      <xdr:col>9</xdr:col>
      <xdr:colOff>831273</xdr:colOff>
      <xdr:row>98</xdr:row>
      <xdr:rowOff>80818</xdr:rowOff>
    </xdr:from>
    <xdr:to>
      <xdr:col>12</xdr:col>
      <xdr:colOff>819728</xdr:colOff>
      <xdr:row>98</xdr:row>
      <xdr:rowOff>3002355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26CAE2A0-B8F9-490A-A83A-2BA1A014D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351000" y="70346454"/>
          <a:ext cx="4006273" cy="2918362"/>
        </a:xfrm>
        <a:prstGeom prst="rect">
          <a:avLst/>
        </a:prstGeom>
      </xdr:spPr>
    </xdr:pic>
    <xdr:clientData/>
  </xdr:twoCellAnchor>
  <xdr:oneCellAnchor>
    <xdr:from>
      <xdr:col>3</xdr:col>
      <xdr:colOff>34638</xdr:colOff>
      <xdr:row>97</xdr:row>
      <xdr:rowOff>1096817</xdr:rowOff>
    </xdr:from>
    <xdr:ext cx="1513957" cy="1108364"/>
    <xdr:pic>
      <xdr:nvPicPr>
        <xdr:cNvPr id="29" name="그림 16">
          <a:extLst>
            <a:ext uri="{FF2B5EF4-FFF2-40B4-BE49-F238E27FC236}">
              <a16:creationId xmlns:a16="http://schemas.microsoft.com/office/drawing/2014/main" id="{525FE992-2CC4-47BE-A959-17262296A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1456" y="68291362"/>
          <a:ext cx="1513957" cy="1108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69852</xdr:colOff>
      <xdr:row>98</xdr:row>
      <xdr:rowOff>969278</xdr:rowOff>
    </xdr:from>
    <xdr:ext cx="1504197" cy="1235901"/>
    <xdr:pic>
      <xdr:nvPicPr>
        <xdr:cNvPr id="30" name="그림 21">
          <a:extLst>
            <a:ext uri="{FF2B5EF4-FFF2-40B4-BE49-F238E27FC236}">
              <a16:creationId xmlns:a16="http://schemas.microsoft.com/office/drawing/2014/main" id="{E94029D7-E7B8-4AEB-ADAA-BA92C2D8C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6670" y="71234914"/>
          <a:ext cx="1504197" cy="1235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62922</xdr:colOff>
      <xdr:row>90</xdr:row>
      <xdr:rowOff>1027545</xdr:rowOff>
    </xdr:from>
    <xdr:ext cx="1484169" cy="1110052"/>
    <xdr:pic>
      <xdr:nvPicPr>
        <xdr:cNvPr id="31" name="그림 17">
          <a:extLst>
            <a:ext uri="{FF2B5EF4-FFF2-40B4-BE49-F238E27FC236}">
              <a16:creationId xmlns:a16="http://schemas.microsoft.com/office/drawing/2014/main" id="{633EA930-42EE-4F8E-9419-5AF31A9A8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9740" y="46724454"/>
          <a:ext cx="1484169" cy="11100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127000</xdr:colOff>
      <xdr:row>91</xdr:row>
      <xdr:rowOff>1043852</xdr:rowOff>
    </xdr:from>
    <xdr:ext cx="1373909" cy="1219554"/>
    <xdr:pic>
      <xdr:nvPicPr>
        <xdr:cNvPr id="32" name="그림 18">
          <a:extLst>
            <a:ext uri="{FF2B5EF4-FFF2-40B4-BE49-F238E27FC236}">
              <a16:creationId xmlns:a16="http://schemas.microsoft.com/office/drawing/2014/main" id="{3C15532F-1C14-4B58-B678-46BB65E6C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3818" y="49811852"/>
          <a:ext cx="1373909" cy="12195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109683</xdr:colOff>
      <xdr:row>92</xdr:row>
      <xdr:rowOff>973995</xdr:rowOff>
    </xdr:from>
    <xdr:ext cx="1402773" cy="1289697"/>
    <xdr:pic>
      <xdr:nvPicPr>
        <xdr:cNvPr id="33" name="그림 19">
          <a:extLst>
            <a:ext uri="{FF2B5EF4-FFF2-40B4-BE49-F238E27FC236}">
              <a16:creationId xmlns:a16="http://schemas.microsoft.com/office/drawing/2014/main" id="{D58627AE-7F07-4643-B5D2-94A9C7FF5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6501" y="52813086"/>
          <a:ext cx="1402773" cy="1289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101313</xdr:colOff>
      <xdr:row>93</xdr:row>
      <xdr:rowOff>1030318</xdr:rowOff>
    </xdr:from>
    <xdr:ext cx="1425850" cy="1059408"/>
    <xdr:pic>
      <xdr:nvPicPr>
        <xdr:cNvPr id="34" name="그림 20">
          <a:extLst>
            <a:ext uri="{FF2B5EF4-FFF2-40B4-BE49-F238E27FC236}">
              <a16:creationId xmlns:a16="http://schemas.microsoft.com/office/drawing/2014/main" id="{210A85FC-318F-413A-8867-E92BB3B43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8131" y="55940500"/>
          <a:ext cx="1425850" cy="1059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74468</xdr:colOff>
      <xdr:row>94</xdr:row>
      <xdr:rowOff>1027543</xdr:rowOff>
    </xdr:from>
    <xdr:ext cx="1481923" cy="1154546"/>
    <xdr:pic>
      <xdr:nvPicPr>
        <xdr:cNvPr id="35" name="그림 22">
          <a:extLst>
            <a:ext uri="{FF2B5EF4-FFF2-40B4-BE49-F238E27FC236}">
              <a16:creationId xmlns:a16="http://schemas.microsoft.com/office/drawing/2014/main" id="{81D723A1-237B-4CF7-92A4-9FA8DEF68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1286" y="59008816"/>
          <a:ext cx="1481923" cy="11545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130176</xdr:colOff>
      <xdr:row>95</xdr:row>
      <xdr:rowOff>1008041</xdr:rowOff>
    </xdr:from>
    <xdr:ext cx="1402810" cy="1167766"/>
    <xdr:pic>
      <xdr:nvPicPr>
        <xdr:cNvPr id="36" name="그림 23">
          <a:extLst>
            <a:ext uri="{FF2B5EF4-FFF2-40B4-BE49-F238E27FC236}">
              <a16:creationId xmlns:a16="http://schemas.microsoft.com/office/drawing/2014/main" id="{D23257CC-A911-4307-A63E-4A995B29E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6994" y="62060405"/>
          <a:ext cx="1402810" cy="11677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60325</xdr:colOff>
      <xdr:row>96</xdr:row>
      <xdr:rowOff>1025770</xdr:rowOff>
    </xdr:from>
    <xdr:ext cx="1465426" cy="1111423"/>
    <xdr:pic>
      <xdr:nvPicPr>
        <xdr:cNvPr id="37" name="그림 24">
          <a:extLst>
            <a:ext uri="{FF2B5EF4-FFF2-40B4-BE49-F238E27FC236}">
              <a16:creationId xmlns:a16="http://schemas.microsoft.com/office/drawing/2014/main" id="{0D53B930-0757-4F5A-8754-6728DE3DA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7143" y="65149225"/>
          <a:ext cx="1465426" cy="11114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</xdr:col>
      <xdr:colOff>115454</xdr:colOff>
      <xdr:row>90</xdr:row>
      <xdr:rowOff>138546</xdr:rowOff>
    </xdr:from>
    <xdr:to>
      <xdr:col>6</xdr:col>
      <xdr:colOff>1260292</xdr:colOff>
      <xdr:row>90</xdr:row>
      <xdr:rowOff>2981903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4A6F1970-1EBE-1BE4-B7B1-A3A2EA894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615545" y="45835455"/>
          <a:ext cx="4077383" cy="2840182"/>
        </a:xfrm>
        <a:prstGeom prst="rect">
          <a:avLst/>
        </a:prstGeom>
      </xdr:spPr>
    </xdr:pic>
    <xdr:clientData/>
  </xdr:twoCellAnchor>
  <xdr:twoCellAnchor editAs="oneCell">
    <xdr:from>
      <xdr:col>4</xdr:col>
      <xdr:colOff>103909</xdr:colOff>
      <xdr:row>91</xdr:row>
      <xdr:rowOff>127000</xdr:rowOff>
    </xdr:from>
    <xdr:to>
      <xdr:col>6</xdr:col>
      <xdr:colOff>1245572</xdr:colOff>
      <xdr:row>91</xdr:row>
      <xdr:rowOff>2964007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8DECC22-0413-4A4C-80CC-35F743348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604000" y="48895000"/>
          <a:ext cx="4077383" cy="2840182"/>
        </a:xfrm>
        <a:prstGeom prst="rect">
          <a:avLst/>
        </a:prstGeom>
      </xdr:spPr>
    </xdr:pic>
    <xdr:clientData/>
  </xdr:twoCellAnchor>
  <xdr:twoCellAnchor editAs="oneCell">
    <xdr:from>
      <xdr:col>4</xdr:col>
      <xdr:colOff>103909</xdr:colOff>
      <xdr:row>92</xdr:row>
      <xdr:rowOff>127000</xdr:rowOff>
    </xdr:from>
    <xdr:to>
      <xdr:col>6</xdr:col>
      <xdr:colOff>1245572</xdr:colOff>
      <xdr:row>92</xdr:row>
      <xdr:rowOff>2964007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8DE90C1E-5582-494F-9278-23A44702C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604000" y="51966091"/>
          <a:ext cx="4077383" cy="2840182"/>
        </a:xfrm>
        <a:prstGeom prst="rect">
          <a:avLst/>
        </a:prstGeom>
      </xdr:spPr>
    </xdr:pic>
    <xdr:clientData/>
  </xdr:twoCellAnchor>
  <xdr:twoCellAnchor editAs="oneCell">
    <xdr:from>
      <xdr:col>4</xdr:col>
      <xdr:colOff>103909</xdr:colOff>
      <xdr:row>93</xdr:row>
      <xdr:rowOff>127000</xdr:rowOff>
    </xdr:from>
    <xdr:to>
      <xdr:col>6</xdr:col>
      <xdr:colOff>1245572</xdr:colOff>
      <xdr:row>93</xdr:row>
      <xdr:rowOff>2964007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E62E8612-2720-46AC-80D4-2468D1F1D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604000" y="55037182"/>
          <a:ext cx="4077383" cy="2840182"/>
        </a:xfrm>
        <a:prstGeom prst="rect">
          <a:avLst/>
        </a:prstGeom>
      </xdr:spPr>
    </xdr:pic>
    <xdr:clientData/>
  </xdr:twoCellAnchor>
  <xdr:twoCellAnchor editAs="oneCell">
    <xdr:from>
      <xdr:col>4</xdr:col>
      <xdr:colOff>103909</xdr:colOff>
      <xdr:row>94</xdr:row>
      <xdr:rowOff>127000</xdr:rowOff>
    </xdr:from>
    <xdr:to>
      <xdr:col>6</xdr:col>
      <xdr:colOff>1245572</xdr:colOff>
      <xdr:row>94</xdr:row>
      <xdr:rowOff>2964007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BBC3117-9C54-46CA-A034-F2635041A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604000" y="58108273"/>
          <a:ext cx="4077383" cy="2840182"/>
        </a:xfrm>
        <a:prstGeom prst="rect">
          <a:avLst/>
        </a:prstGeom>
      </xdr:spPr>
    </xdr:pic>
    <xdr:clientData/>
  </xdr:twoCellAnchor>
  <xdr:twoCellAnchor editAs="oneCell">
    <xdr:from>
      <xdr:col>4</xdr:col>
      <xdr:colOff>103909</xdr:colOff>
      <xdr:row>95</xdr:row>
      <xdr:rowOff>127000</xdr:rowOff>
    </xdr:from>
    <xdr:to>
      <xdr:col>6</xdr:col>
      <xdr:colOff>1245572</xdr:colOff>
      <xdr:row>95</xdr:row>
      <xdr:rowOff>2964007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C670EA40-0626-4AA0-9D89-FEC177AD3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604000" y="61179364"/>
          <a:ext cx="4077383" cy="2840182"/>
        </a:xfrm>
        <a:prstGeom prst="rect">
          <a:avLst/>
        </a:prstGeom>
      </xdr:spPr>
    </xdr:pic>
    <xdr:clientData/>
  </xdr:twoCellAnchor>
  <xdr:twoCellAnchor editAs="oneCell">
    <xdr:from>
      <xdr:col>4</xdr:col>
      <xdr:colOff>103909</xdr:colOff>
      <xdr:row>96</xdr:row>
      <xdr:rowOff>127000</xdr:rowOff>
    </xdr:from>
    <xdr:to>
      <xdr:col>6</xdr:col>
      <xdr:colOff>1245572</xdr:colOff>
      <xdr:row>96</xdr:row>
      <xdr:rowOff>2964007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F255A8A0-7635-4303-8992-D5EE710E7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604000" y="64250455"/>
          <a:ext cx="4077383" cy="2840182"/>
        </a:xfrm>
        <a:prstGeom prst="rect">
          <a:avLst/>
        </a:prstGeom>
      </xdr:spPr>
    </xdr:pic>
    <xdr:clientData/>
  </xdr:twoCellAnchor>
  <xdr:twoCellAnchor editAs="oneCell">
    <xdr:from>
      <xdr:col>4</xdr:col>
      <xdr:colOff>103909</xdr:colOff>
      <xdr:row>97</xdr:row>
      <xdr:rowOff>127000</xdr:rowOff>
    </xdr:from>
    <xdr:to>
      <xdr:col>6</xdr:col>
      <xdr:colOff>1245572</xdr:colOff>
      <xdr:row>97</xdr:row>
      <xdr:rowOff>2964007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6CF2C7C8-6C07-4D23-9BB6-A40D25C09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604000" y="67321545"/>
          <a:ext cx="4077383" cy="2840182"/>
        </a:xfrm>
        <a:prstGeom prst="rect">
          <a:avLst/>
        </a:prstGeom>
      </xdr:spPr>
    </xdr:pic>
    <xdr:clientData/>
  </xdr:twoCellAnchor>
  <xdr:twoCellAnchor editAs="oneCell">
    <xdr:from>
      <xdr:col>4</xdr:col>
      <xdr:colOff>103909</xdr:colOff>
      <xdr:row>98</xdr:row>
      <xdr:rowOff>127000</xdr:rowOff>
    </xdr:from>
    <xdr:to>
      <xdr:col>6</xdr:col>
      <xdr:colOff>1245572</xdr:colOff>
      <xdr:row>98</xdr:row>
      <xdr:rowOff>2964007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5925CA01-75A2-4BCE-A618-0B1629CE9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604000" y="70392636"/>
          <a:ext cx="4077383" cy="2840182"/>
        </a:xfrm>
        <a:prstGeom prst="rect">
          <a:avLst/>
        </a:prstGeom>
      </xdr:spPr>
    </xdr:pic>
    <xdr:clientData/>
  </xdr:twoCellAnchor>
  <xdr:twoCellAnchor editAs="oneCell">
    <xdr:from>
      <xdr:col>8</xdr:col>
      <xdr:colOff>392545</xdr:colOff>
      <xdr:row>92</xdr:row>
      <xdr:rowOff>115455</xdr:rowOff>
    </xdr:from>
    <xdr:to>
      <xdr:col>8</xdr:col>
      <xdr:colOff>961447</xdr:colOff>
      <xdr:row>92</xdr:row>
      <xdr:rowOff>3017982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E18F742-13E2-D665-DA03-2F6903846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573000" y="51954546"/>
          <a:ext cx="565727" cy="2899352"/>
        </a:xfrm>
        <a:prstGeom prst="rect">
          <a:avLst/>
        </a:prstGeom>
      </xdr:spPr>
    </xdr:pic>
    <xdr:clientData/>
  </xdr:twoCellAnchor>
  <xdr:twoCellAnchor editAs="oneCell">
    <xdr:from>
      <xdr:col>8</xdr:col>
      <xdr:colOff>369454</xdr:colOff>
      <xdr:row>94</xdr:row>
      <xdr:rowOff>92364</xdr:rowOff>
    </xdr:from>
    <xdr:to>
      <xdr:col>8</xdr:col>
      <xdr:colOff>935181</xdr:colOff>
      <xdr:row>94</xdr:row>
      <xdr:rowOff>2991716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E6D923B8-20AE-4469-B30C-11F5A4597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549909" y="58073637"/>
          <a:ext cx="565727" cy="2899352"/>
        </a:xfrm>
        <a:prstGeom prst="rect">
          <a:avLst/>
        </a:prstGeom>
      </xdr:spPr>
    </xdr:pic>
    <xdr:clientData/>
  </xdr:twoCellAnchor>
  <xdr:twoCellAnchor editAs="oneCell">
    <xdr:from>
      <xdr:col>8</xdr:col>
      <xdr:colOff>369454</xdr:colOff>
      <xdr:row>95</xdr:row>
      <xdr:rowOff>92364</xdr:rowOff>
    </xdr:from>
    <xdr:to>
      <xdr:col>8</xdr:col>
      <xdr:colOff>935181</xdr:colOff>
      <xdr:row>95</xdr:row>
      <xdr:rowOff>2991716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B2081583-8E38-45CE-9936-2B5185B16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549909" y="61144728"/>
          <a:ext cx="565727" cy="2899352"/>
        </a:xfrm>
        <a:prstGeom prst="rect">
          <a:avLst/>
        </a:prstGeom>
      </xdr:spPr>
    </xdr:pic>
    <xdr:clientData/>
  </xdr:twoCellAnchor>
  <xdr:twoCellAnchor editAs="oneCell">
    <xdr:from>
      <xdr:col>8</xdr:col>
      <xdr:colOff>369456</xdr:colOff>
      <xdr:row>90</xdr:row>
      <xdr:rowOff>57728</xdr:rowOff>
    </xdr:from>
    <xdr:to>
      <xdr:col>8</xdr:col>
      <xdr:colOff>964437</xdr:colOff>
      <xdr:row>90</xdr:row>
      <xdr:rowOff>2960543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57E1E5E-98A7-BFF8-3D3F-3DED6A9D4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549911" y="45754637"/>
          <a:ext cx="591806" cy="2905990"/>
        </a:xfrm>
        <a:prstGeom prst="rect">
          <a:avLst/>
        </a:prstGeom>
      </xdr:spPr>
    </xdr:pic>
    <xdr:clientData/>
  </xdr:twoCellAnchor>
  <xdr:twoCellAnchor editAs="oneCell">
    <xdr:from>
      <xdr:col>8</xdr:col>
      <xdr:colOff>369455</xdr:colOff>
      <xdr:row>91</xdr:row>
      <xdr:rowOff>69273</xdr:rowOff>
    </xdr:from>
    <xdr:to>
      <xdr:col>8</xdr:col>
      <xdr:colOff>964436</xdr:colOff>
      <xdr:row>91</xdr:row>
      <xdr:rowOff>2978438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D480074B-00B8-49D8-9B64-817BC9F7C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549910" y="48837273"/>
          <a:ext cx="591806" cy="2905990"/>
        </a:xfrm>
        <a:prstGeom prst="rect">
          <a:avLst/>
        </a:prstGeom>
      </xdr:spPr>
    </xdr:pic>
    <xdr:clientData/>
  </xdr:twoCellAnchor>
  <xdr:twoCellAnchor editAs="oneCell">
    <xdr:from>
      <xdr:col>8</xdr:col>
      <xdr:colOff>357910</xdr:colOff>
      <xdr:row>93</xdr:row>
      <xdr:rowOff>103909</xdr:rowOff>
    </xdr:from>
    <xdr:to>
      <xdr:col>8</xdr:col>
      <xdr:colOff>949716</xdr:colOff>
      <xdr:row>93</xdr:row>
      <xdr:rowOff>3009899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E0D6E2AB-8A49-43EC-8A15-68C7C97DE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538365" y="55014091"/>
          <a:ext cx="591806" cy="2905990"/>
        </a:xfrm>
        <a:prstGeom prst="rect">
          <a:avLst/>
        </a:prstGeom>
      </xdr:spPr>
    </xdr:pic>
    <xdr:clientData/>
  </xdr:twoCellAnchor>
  <xdr:twoCellAnchor editAs="oneCell">
    <xdr:from>
      <xdr:col>8</xdr:col>
      <xdr:colOff>357909</xdr:colOff>
      <xdr:row>96</xdr:row>
      <xdr:rowOff>80818</xdr:rowOff>
    </xdr:from>
    <xdr:to>
      <xdr:col>8</xdr:col>
      <xdr:colOff>949715</xdr:colOff>
      <xdr:row>96</xdr:row>
      <xdr:rowOff>2983633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C62C33FD-6B26-4DC2-BDB2-8A95AC8EF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538364" y="64204273"/>
          <a:ext cx="591806" cy="2905990"/>
        </a:xfrm>
        <a:prstGeom prst="rect">
          <a:avLst/>
        </a:prstGeom>
      </xdr:spPr>
    </xdr:pic>
    <xdr:clientData/>
  </xdr:twoCellAnchor>
  <xdr:twoCellAnchor editAs="oneCell">
    <xdr:from>
      <xdr:col>8</xdr:col>
      <xdr:colOff>357909</xdr:colOff>
      <xdr:row>97</xdr:row>
      <xdr:rowOff>80818</xdr:rowOff>
    </xdr:from>
    <xdr:to>
      <xdr:col>8</xdr:col>
      <xdr:colOff>949715</xdr:colOff>
      <xdr:row>97</xdr:row>
      <xdr:rowOff>2983633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AF1C3555-DBF1-4F00-902F-D8220008E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538364" y="67275363"/>
          <a:ext cx="591806" cy="2905990"/>
        </a:xfrm>
        <a:prstGeom prst="rect">
          <a:avLst/>
        </a:prstGeom>
      </xdr:spPr>
    </xdr:pic>
    <xdr:clientData/>
  </xdr:twoCellAnchor>
  <xdr:twoCellAnchor editAs="oneCell">
    <xdr:from>
      <xdr:col>8</xdr:col>
      <xdr:colOff>357909</xdr:colOff>
      <xdr:row>98</xdr:row>
      <xdr:rowOff>80818</xdr:rowOff>
    </xdr:from>
    <xdr:to>
      <xdr:col>8</xdr:col>
      <xdr:colOff>949715</xdr:colOff>
      <xdr:row>98</xdr:row>
      <xdr:rowOff>2983633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D5FF94D1-DCE2-4231-96A5-5B04F4E9D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538364" y="70346454"/>
          <a:ext cx="591806" cy="29059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A08F4-3ED9-431D-8134-D36BA2380069}">
  <sheetPr>
    <pageSetUpPr fitToPage="1"/>
  </sheetPr>
  <dimension ref="A1:R109"/>
  <sheetViews>
    <sheetView tabSelected="1" view="pageBreakPreview" topLeftCell="A25" zoomScale="55" zoomScaleNormal="55" zoomScaleSheetLayoutView="55" workbookViewId="0">
      <selection activeCell="O33" sqref="O33"/>
    </sheetView>
  </sheetViews>
  <sheetFormatPr defaultColWidth="9.7265625" defaultRowHeight="14.5"/>
  <cols>
    <col min="1" max="2" width="22.7265625" style="19" customWidth="1"/>
    <col min="3" max="3" width="24.54296875" style="19" customWidth="1"/>
    <col min="4" max="5" width="22.7265625" style="19" customWidth="1"/>
    <col min="6" max="7" width="19.1796875" style="19" customWidth="1"/>
    <col min="8" max="8" width="20.1796875" style="19" customWidth="1"/>
    <col min="9" max="13" width="19.1796875" style="19" customWidth="1"/>
    <col min="14" max="14" width="22.453125" style="19" customWidth="1"/>
    <col min="15" max="15" width="23.08984375" style="19" customWidth="1"/>
    <col min="16" max="16" width="22.6328125" style="19" customWidth="1"/>
    <col min="17" max="17" width="19.1796875" style="19" customWidth="1"/>
    <col min="18" max="18" width="20.54296875" style="19" customWidth="1"/>
    <col min="19" max="16384" width="9.7265625" style="19"/>
  </cols>
  <sheetData>
    <row r="1" spans="1:18" s="4" customFormat="1" ht="40" customHeight="1" thickBot="1">
      <c r="A1" s="237" t="s">
        <v>144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50"/>
    </row>
    <row r="2" spans="1:18" s="4" customFormat="1" ht="25.5" customHeight="1" thickBot="1">
      <c r="A2" s="47" t="s">
        <v>91</v>
      </c>
      <c r="B2" s="48"/>
      <c r="C2" s="1"/>
      <c r="D2" s="12"/>
      <c r="E2" s="2"/>
      <c r="F2" s="3"/>
      <c r="G2" s="3"/>
      <c r="H2" s="3"/>
      <c r="P2" s="16"/>
      <c r="Q2" s="49" t="s">
        <v>20</v>
      </c>
      <c r="R2" s="66">
        <v>45960</v>
      </c>
    </row>
    <row r="3" spans="1:18" s="4" customFormat="1" ht="26.5" customHeight="1">
      <c r="A3" s="289" t="s">
        <v>89</v>
      </c>
      <c r="B3" s="6" t="s">
        <v>0</v>
      </c>
      <c r="C3" s="50" t="s">
        <v>104</v>
      </c>
      <c r="D3" s="251" t="s">
        <v>72</v>
      </c>
      <c r="E3" s="252"/>
      <c r="F3" s="252"/>
      <c r="G3" s="252"/>
      <c r="H3" s="252"/>
      <c r="I3" s="173" t="s">
        <v>74</v>
      </c>
      <c r="J3" s="174"/>
      <c r="K3" s="174"/>
      <c r="L3" s="174"/>
      <c r="M3" s="174"/>
      <c r="N3" s="175"/>
      <c r="O3" s="266" t="s">
        <v>73</v>
      </c>
      <c r="P3" s="13" t="s">
        <v>1</v>
      </c>
      <c r="Q3" s="13" t="s">
        <v>2</v>
      </c>
      <c r="R3" s="14" t="s">
        <v>3</v>
      </c>
    </row>
    <row r="4" spans="1:18" s="4" customFormat="1" ht="26.5" customHeight="1">
      <c r="A4" s="290"/>
      <c r="B4" s="7" t="s">
        <v>4</v>
      </c>
      <c r="C4" s="8" t="s">
        <v>69</v>
      </c>
      <c r="D4" s="55" t="s">
        <v>5</v>
      </c>
      <c r="E4" s="253" t="s">
        <v>128</v>
      </c>
      <c r="F4" s="254"/>
      <c r="G4" s="254"/>
      <c r="H4" s="254"/>
      <c r="I4" s="22" t="s">
        <v>75</v>
      </c>
      <c r="J4" s="283" t="s">
        <v>14</v>
      </c>
      <c r="K4" s="284"/>
      <c r="L4" s="284"/>
      <c r="M4" s="284"/>
      <c r="N4" s="285"/>
      <c r="O4" s="267"/>
      <c r="P4" s="277"/>
      <c r="Q4" s="286"/>
      <c r="R4" s="166"/>
    </row>
    <row r="5" spans="1:18" s="4" customFormat="1" ht="26.5" customHeight="1">
      <c r="A5" s="290"/>
      <c r="B5" s="7" t="s">
        <v>6</v>
      </c>
      <c r="C5" s="51" t="s">
        <v>105</v>
      </c>
      <c r="D5" s="53" t="s">
        <v>7</v>
      </c>
      <c r="E5" s="169" t="s">
        <v>101</v>
      </c>
      <c r="F5" s="170"/>
      <c r="G5" s="170"/>
      <c r="H5" s="170"/>
      <c r="I5" s="22" t="s">
        <v>90</v>
      </c>
      <c r="J5" s="280" t="s">
        <v>133</v>
      </c>
      <c r="K5" s="281"/>
      <c r="L5" s="281"/>
      <c r="M5" s="281"/>
      <c r="N5" s="282"/>
      <c r="O5" s="267"/>
      <c r="P5" s="278"/>
      <c r="Q5" s="287"/>
      <c r="R5" s="167"/>
    </row>
    <row r="6" spans="1:18" s="4" customFormat="1" ht="26.5" customHeight="1">
      <c r="A6" s="290"/>
      <c r="B6" s="7" t="s">
        <v>8</v>
      </c>
      <c r="C6" s="52" t="s">
        <v>9</v>
      </c>
      <c r="D6" s="53" t="s">
        <v>10</v>
      </c>
      <c r="E6" s="171" t="s">
        <v>11</v>
      </c>
      <c r="F6" s="172"/>
      <c r="G6" s="172"/>
      <c r="H6" s="172"/>
      <c r="I6" s="260"/>
      <c r="J6" s="261"/>
      <c r="K6" s="261"/>
      <c r="L6" s="261"/>
      <c r="M6" s="261"/>
      <c r="N6" s="78"/>
      <c r="O6" s="268"/>
      <c r="P6" s="279"/>
      <c r="Q6" s="288"/>
      <c r="R6" s="168"/>
    </row>
    <row r="7" spans="1:18" s="4" customFormat="1" ht="26.5" customHeight="1">
      <c r="A7" s="290"/>
      <c r="B7" s="7" t="s">
        <v>12</v>
      </c>
      <c r="C7" s="9">
        <v>150</v>
      </c>
      <c r="D7" s="17" t="s">
        <v>13</v>
      </c>
      <c r="E7" s="264" t="s">
        <v>142</v>
      </c>
      <c r="F7" s="265"/>
      <c r="G7" s="265"/>
      <c r="H7" s="265"/>
      <c r="I7" s="17" t="s">
        <v>14</v>
      </c>
      <c r="J7" s="109"/>
      <c r="K7" s="15"/>
      <c r="L7" s="15"/>
      <c r="M7" s="15"/>
      <c r="N7" s="15"/>
      <c r="O7" s="15"/>
      <c r="P7" s="15"/>
      <c r="Q7" s="15"/>
      <c r="R7" s="5"/>
    </row>
    <row r="8" spans="1:18" s="4" customFormat="1" ht="26.5" customHeight="1">
      <c r="A8" s="290"/>
      <c r="B8" s="7" t="s">
        <v>15</v>
      </c>
      <c r="C8" s="79">
        <f>M26</f>
        <v>17600</v>
      </c>
      <c r="D8" s="53" t="s">
        <v>88</v>
      </c>
      <c r="E8" s="264" t="s">
        <v>142</v>
      </c>
      <c r="F8" s="265"/>
      <c r="G8" s="265"/>
      <c r="H8" s="265"/>
      <c r="I8" s="269" t="s">
        <v>16</v>
      </c>
      <c r="J8" s="270"/>
      <c r="K8" s="270"/>
      <c r="L8" s="270"/>
      <c r="M8" s="270"/>
      <c r="N8" s="270"/>
      <c r="O8" s="270"/>
      <c r="P8" s="270"/>
      <c r="Q8" s="270"/>
      <c r="R8" s="271"/>
    </row>
    <row r="9" spans="1:18" s="4" customFormat="1" ht="26.5" customHeight="1" thickBot="1">
      <c r="A9" s="291"/>
      <c r="B9" s="10" t="s">
        <v>17</v>
      </c>
      <c r="C9" s="11">
        <v>46038</v>
      </c>
      <c r="D9" s="54" t="s">
        <v>18</v>
      </c>
      <c r="E9" s="275" t="s">
        <v>106</v>
      </c>
      <c r="F9" s="276"/>
      <c r="G9" s="276"/>
      <c r="H9" s="276"/>
      <c r="I9" s="272"/>
      <c r="J9" s="273"/>
      <c r="K9" s="273"/>
      <c r="L9" s="273"/>
      <c r="M9" s="273"/>
      <c r="N9" s="273"/>
      <c r="O9" s="273"/>
      <c r="P9" s="273"/>
      <c r="Q9" s="273"/>
      <c r="R9" s="274"/>
    </row>
    <row r="10" spans="1:18" s="4" customFormat="1" ht="24" thickBot="1">
      <c r="A10" s="262" t="s">
        <v>102</v>
      </c>
      <c r="B10" s="263"/>
      <c r="C10" s="263"/>
      <c r="D10" s="263"/>
      <c r="E10" s="263"/>
      <c r="F10" s="263"/>
      <c r="G10" s="263"/>
      <c r="H10" s="263"/>
      <c r="I10" s="263"/>
      <c r="J10" s="263"/>
      <c r="K10" s="263"/>
      <c r="L10" s="263"/>
      <c r="M10" s="263"/>
      <c r="N10" s="263"/>
      <c r="O10" s="263"/>
      <c r="P10" s="263"/>
      <c r="Q10" s="197" t="s">
        <v>19</v>
      </c>
      <c r="R10" s="198"/>
    </row>
    <row r="11" spans="1:18" ht="25" customHeight="1">
      <c r="A11" s="199" t="s">
        <v>21</v>
      </c>
      <c r="B11" s="187" t="s">
        <v>6</v>
      </c>
      <c r="C11" s="202" t="s">
        <v>22</v>
      </c>
      <c r="D11" s="202" t="s">
        <v>23</v>
      </c>
      <c r="E11" s="202" t="s">
        <v>24</v>
      </c>
      <c r="F11" s="178" t="str">
        <f>C5</f>
        <v>GN001KC</v>
      </c>
      <c r="G11" s="179"/>
      <c r="H11" s="179"/>
      <c r="I11" s="179"/>
      <c r="J11" s="179"/>
      <c r="K11" s="179"/>
      <c r="L11" s="180"/>
      <c r="M11" s="187" t="s">
        <v>31</v>
      </c>
      <c r="N11" s="207" t="s">
        <v>98</v>
      </c>
      <c r="O11" s="187" t="s">
        <v>34</v>
      </c>
      <c r="P11" s="176" t="s">
        <v>35</v>
      </c>
      <c r="Q11" s="132" t="s">
        <v>32</v>
      </c>
      <c r="R11" s="133">
        <v>9.2430000000000003</v>
      </c>
    </row>
    <row r="12" spans="1:18" ht="25" customHeight="1" thickBot="1">
      <c r="A12" s="258"/>
      <c r="B12" s="188"/>
      <c r="C12" s="259"/>
      <c r="D12" s="259"/>
      <c r="E12" s="259"/>
      <c r="F12" s="134" t="s">
        <v>103</v>
      </c>
      <c r="G12" s="134" t="s">
        <v>25</v>
      </c>
      <c r="H12" s="134" t="s">
        <v>26</v>
      </c>
      <c r="I12" s="134" t="s">
        <v>27</v>
      </c>
      <c r="J12" s="134" t="s">
        <v>28</v>
      </c>
      <c r="K12" s="134" t="s">
        <v>29</v>
      </c>
      <c r="L12" s="134" t="s">
        <v>30</v>
      </c>
      <c r="M12" s="188"/>
      <c r="N12" s="209"/>
      <c r="O12" s="188"/>
      <c r="P12" s="177"/>
      <c r="Q12" s="61" t="s">
        <v>33</v>
      </c>
      <c r="R12" s="81">
        <v>0.29199999999999998</v>
      </c>
    </row>
    <row r="13" spans="1:18" ht="161" customHeight="1">
      <c r="A13" s="111">
        <v>4501786081</v>
      </c>
      <c r="B13" s="135">
        <v>112375727</v>
      </c>
      <c r="C13" s="136" t="s">
        <v>109</v>
      </c>
      <c r="D13" s="100"/>
      <c r="E13" s="116">
        <f>$C$9</f>
        <v>46038</v>
      </c>
      <c r="F13" s="146">
        <v>0</v>
      </c>
      <c r="G13" s="83">
        <v>732</v>
      </c>
      <c r="H13" s="84">
        <v>1216</v>
      </c>
      <c r="I13" s="84">
        <v>1395</v>
      </c>
      <c r="J13" s="84">
        <v>1185</v>
      </c>
      <c r="K13" s="84">
        <v>702</v>
      </c>
      <c r="L13" s="146">
        <v>0</v>
      </c>
      <c r="M13" s="85">
        <f>SUM(F13:L13)</f>
        <v>5230</v>
      </c>
      <c r="N13" s="94">
        <v>0.75</v>
      </c>
      <c r="O13" s="97" t="s">
        <v>100</v>
      </c>
      <c r="P13" s="143" t="s">
        <v>134</v>
      </c>
      <c r="Q13" s="181" t="s">
        <v>114</v>
      </c>
      <c r="R13" s="182"/>
    </row>
    <row r="14" spans="1:18" ht="161" customHeight="1">
      <c r="A14" s="112">
        <v>4501786083</v>
      </c>
      <c r="B14" s="114">
        <v>112375728</v>
      </c>
      <c r="C14" s="119" t="s">
        <v>123</v>
      </c>
      <c r="D14" s="101"/>
      <c r="E14" s="117">
        <f t="shared" ref="E14:E19" si="0">$C$9</f>
        <v>46038</v>
      </c>
      <c r="F14" s="147">
        <v>0</v>
      </c>
      <c r="G14" s="86">
        <v>258</v>
      </c>
      <c r="H14" s="87">
        <v>408</v>
      </c>
      <c r="I14" s="87">
        <v>497</v>
      </c>
      <c r="J14" s="87">
        <v>403</v>
      </c>
      <c r="K14" s="87">
        <v>234</v>
      </c>
      <c r="L14" s="147">
        <v>0</v>
      </c>
      <c r="M14" s="88">
        <f t="shared" ref="M14:M18" si="1">SUM(F14:L14)</f>
        <v>1800</v>
      </c>
      <c r="N14" s="95">
        <v>0.75</v>
      </c>
      <c r="O14" s="98" t="s">
        <v>100</v>
      </c>
      <c r="P14" s="59" t="s">
        <v>135</v>
      </c>
      <c r="Q14" s="183"/>
      <c r="R14" s="184"/>
    </row>
    <row r="15" spans="1:18" ht="161" customHeight="1">
      <c r="A15" s="112">
        <v>4501786084</v>
      </c>
      <c r="B15" s="114">
        <v>112375735</v>
      </c>
      <c r="C15" s="118" t="s">
        <v>124</v>
      </c>
      <c r="D15" s="101"/>
      <c r="E15" s="117">
        <f t="shared" si="0"/>
        <v>46038</v>
      </c>
      <c r="F15" s="147">
        <v>0</v>
      </c>
      <c r="G15" s="86">
        <v>237</v>
      </c>
      <c r="H15" s="87">
        <v>380</v>
      </c>
      <c r="I15" s="87">
        <v>467</v>
      </c>
      <c r="J15" s="87">
        <v>346</v>
      </c>
      <c r="K15" s="87">
        <v>220</v>
      </c>
      <c r="L15" s="147">
        <v>0</v>
      </c>
      <c r="M15" s="88">
        <f t="shared" ref="M15:M17" si="2">SUM(F15:L15)</f>
        <v>1650</v>
      </c>
      <c r="N15" s="95">
        <v>0.75</v>
      </c>
      <c r="O15" s="98" t="s">
        <v>100</v>
      </c>
      <c r="P15" s="144" t="s">
        <v>136</v>
      </c>
      <c r="Q15" s="183"/>
      <c r="R15" s="184"/>
    </row>
    <row r="16" spans="1:18" ht="161" customHeight="1">
      <c r="A16" s="112">
        <v>4501786085</v>
      </c>
      <c r="B16" s="114">
        <v>112375736</v>
      </c>
      <c r="C16" s="118" t="s">
        <v>110</v>
      </c>
      <c r="D16" s="101"/>
      <c r="E16" s="117">
        <f t="shared" si="0"/>
        <v>46038</v>
      </c>
      <c r="F16" s="147">
        <v>0</v>
      </c>
      <c r="G16" s="86">
        <v>575</v>
      </c>
      <c r="H16" s="87">
        <v>918</v>
      </c>
      <c r="I16" s="87">
        <v>1112</v>
      </c>
      <c r="J16" s="87">
        <v>884</v>
      </c>
      <c r="K16" s="87">
        <v>536</v>
      </c>
      <c r="L16" s="147">
        <v>0</v>
      </c>
      <c r="M16" s="88">
        <f t="shared" si="2"/>
        <v>4025</v>
      </c>
      <c r="N16" s="95">
        <v>0.75</v>
      </c>
      <c r="O16" s="98" t="s">
        <v>100</v>
      </c>
      <c r="P16" s="59" t="s">
        <v>135</v>
      </c>
      <c r="Q16" s="183"/>
      <c r="R16" s="184"/>
    </row>
    <row r="17" spans="1:18" ht="161" customHeight="1">
      <c r="A17" s="112">
        <v>4501786087</v>
      </c>
      <c r="B17" s="114">
        <v>112375740</v>
      </c>
      <c r="C17" s="118" t="s">
        <v>125</v>
      </c>
      <c r="D17" s="101"/>
      <c r="E17" s="117">
        <f t="shared" si="0"/>
        <v>46038</v>
      </c>
      <c r="F17" s="147">
        <v>0</v>
      </c>
      <c r="G17" s="86">
        <v>296</v>
      </c>
      <c r="H17" s="87">
        <v>480</v>
      </c>
      <c r="I17" s="87">
        <v>575</v>
      </c>
      <c r="J17" s="87">
        <v>440</v>
      </c>
      <c r="K17" s="87">
        <v>279</v>
      </c>
      <c r="L17" s="147">
        <v>0</v>
      </c>
      <c r="M17" s="88">
        <f t="shared" si="2"/>
        <v>2070</v>
      </c>
      <c r="N17" s="95">
        <v>0.75</v>
      </c>
      <c r="O17" s="98" t="s">
        <v>100</v>
      </c>
      <c r="P17" s="144" t="s">
        <v>137</v>
      </c>
      <c r="Q17" s="183"/>
      <c r="R17" s="184"/>
    </row>
    <row r="18" spans="1:18" ht="161" customHeight="1">
      <c r="A18" s="112">
        <v>4501786093</v>
      </c>
      <c r="B18" s="114">
        <v>112375805</v>
      </c>
      <c r="C18" s="118" t="s">
        <v>125</v>
      </c>
      <c r="D18" s="101"/>
      <c r="E18" s="117">
        <f t="shared" si="0"/>
        <v>46038</v>
      </c>
      <c r="F18" s="147">
        <v>0</v>
      </c>
      <c r="G18" s="86">
        <v>1367</v>
      </c>
      <c r="H18" s="87">
        <v>2266</v>
      </c>
      <c r="I18" s="87">
        <v>2614</v>
      </c>
      <c r="J18" s="87">
        <v>2076</v>
      </c>
      <c r="K18" s="87">
        <v>1377</v>
      </c>
      <c r="L18" s="147">
        <v>0</v>
      </c>
      <c r="M18" s="88">
        <f t="shared" si="1"/>
        <v>9700</v>
      </c>
      <c r="N18" s="95">
        <v>0.75</v>
      </c>
      <c r="O18" s="98" t="s">
        <v>100</v>
      </c>
      <c r="P18" s="144" t="s">
        <v>137</v>
      </c>
      <c r="Q18" s="183"/>
      <c r="R18" s="184"/>
    </row>
    <row r="19" spans="1:18" ht="161" customHeight="1" thickBot="1">
      <c r="A19" s="121">
        <v>4501786090</v>
      </c>
      <c r="B19" s="122">
        <v>112375761</v>
      </c>
      <c r="C19" s="137" t="s">
        <v>126</v>
      </c>
      <c r="D19" s="124"/>
      <c r="E19" s="125">
        <f t="shared" si="0"/>
        <v>46038</v>
      </c>
      <c r="F19" s="148">
        <v>0</v>
      </c>
      <c r="G19" s="126">
        <v>154</v>
      </c>
      <c r="H19" s="127">
        <v>233</v>
      </c>
      <c r="I19" s="127">
        <v>291</v>
      </c>
      <c r="J19" s="127">
        <v>253</v>
      </c>
      <c r="K19" s="127">
        <v>144</v>
      </c>
      <c r="L19" s="148">
        <v>0</v>
      </c>
      <c r="M19" s="128">
        <f t="shared" ref="M19" si="3">SUM(F19:L19)</f>
        <v>1075</v>
      </c>
      <c r="N19" s="96">
        <v>0.75</v>
      </c>
      <c r="O19" s="129" t="s">
        <v>100</v>
      </c>
      <c r="P19" s="145" t="s">
        <v>138</v>
      </c>
      <c r="Q19" s="185"/>
      <c r="R19" s="186"/>
    </row>
    <row r="20" spans="1:18" ht="40.5" customHeight="1" thickBot="1">
      <c r="A20" s="292" t="s">
        <v>31</v>
      </c>
      <c r="B20" s="293"/>
      <c r="C20" s="293"/>
      <c r="D20" s="293"/>
      <c r="E20" s="294"/>
      <c r="F20" s="149">
        <f>SUM(F13:F19)</f>
        <v>0</v>
      </c>
      <c r="G20" s="89">
        <f t="shared" ref="G20:M20" si="4">SUM(G13:G19)</f>
        <v>3619</v>
      </c>
      <c r="H20" s="89">
        <f t="shared" si="4"/>
        <v>5901</v>
      </c>
      <c r="I20" s="89">
        <f t="shared" si="4"/>
        <v>6951</v>
      </c>
      <c r="J20" s="89">
        <f t="shared" si="4"/>
        <v>5587</v>
      </c>
      <c r="K20" s="89">
        <f t="shared" si="4"/>
        <v>3492</v>
      </c>
      <c r="L20" s="149">
        <f t="shared" si="4"/>
        <v>0</v>
      </c>
      <c r="M20" s="90">
        <f t="shared" si="4"/>
        <v>25550</v>
      </c>
      <c r="N20" s="234"/>
      <c r="O20" s="235"/>
      <c r="P20" s="235"/>
      <c r="Q20" s="235"/>
      <c r="R20" s="236"/>
    </row>
    <row r="21" spans="1:18" s="4" customFormat="1" ht="24" thickBot="1">
      <c r="A21" s="195" t="s">
        <v>102</v>
      </c>
      <c r="B21" s="196"/>
      <c r="C21" s="196"/>
      <c r="D21" s="196"/>
      <c r="E21" s="196"/>
      <c r="F21" s="196"/>
      <c r="G21" s="196"/>
      <c r="H21" s="196"/>
      <c r="I21" s="196"/>
      <c r="J21" s="196"/>
      <c r="K21" s="196"/>
      <c r="L21" s="196"/>
      <c r="M21" s="196"/>
      <c r="N21" s="196"/>
      <c r="O21" s="196"/>
      <c r="P21" s="196"/>
      <c r="Q21" s="197" t="s">
        <v>19</v>
      </c>
      <c r="R21" s="198"/>
    </row>
    <row r="22" spans="1:18" ht="25" customHeight="1">
      <c r="A22" s="199" t="s">
        <v>21</v>
      </c>
      <c r="B22" s="187" t="s">
        <v>6</v>
      </c>
      <c r="C22" s="202" t="s">
        <v>22</v>
      </c>
      <c r="D22" s="202" t="s">
        <v>23</v>
      </c>
      <c r="E22" s="202" t="s">
        <v>24</v>
      </c>
      <c r="F22" s="204" t="s">
        <v>111</v>
      </c>
      <c r="G22" s="205"/>
      <c r="H22" s="205"/>
      <c r="I22" s="205"/>
      <c r="J22" s="205"/>
      <c r="K22" s="205"/>
      <c r="L22" s="206"/>
      <c r="M22" s="187" t="s">
        <v>31</v>
      </c>
      <c r="N22" s="207" t="s">
        <v>98</v>
      </c>
      <c r="O22" s="187" t="s">
        <v>34</v>
      </c>
      <c r="P22" s="176" t="s">
        <v>35</v>
      </c>
      <c r="Q22" s="60" t="s">
        <v>32</v>
      </c>
      <c r="R22" s="80">
        <v>10.17</v>
      </c>
    </row>
    <row r="23" spans="1:18" ht="25" customHeight="1" thickBot="1">
      <c r="A23" s="200"/>
      <c r="B23" s="201"/>
      <c r="C23" s="203"/>
      <c r="D23" s="203"/>
      <c r="E23" s="203"/>
      <c r="F23" s="77" t="s">
        <v>103</v>
      </c>
      <c r="G23" s="77" t="s">
        <v>25</v>
      </c>
      <c r="H23" s="77" t="s">
        <v>26</v>
      </c>
      <c r="I23" s="77" t="s">
        <v>27</v>
      </c>
      <c r="J23" s="77" t="s">
        <v>28</v>
      </c>
      <c r="K23" s="77" t="s">
        <v>29</v>
      </c>
      <c r="L23" s="77" t="s">
        <v>30</v>
      </c>
      <c r="M23" s="201"/>
      <c r="N23" s="208"/>
      <c r="O23" s="201"/>
      <c r="P23" s="322"/>
      <c r="Q23" s="61" t="s">
        <v>33</v>
      </c>
      <c r="R23" s="81">
        <v>0.27800000000000002</v>
      </c>
    </row>
    <row r="24" spans="1:18" ht="201" customHeight="1">
      <c r="A24" s="111">
        <v>4501786080</v>
      </c>
      <c r="B24" s="113">
        <v>112375726</v>
      </c>
      <c r="C24" s="99" t="s">
        <v>108</v>
      </c>
      <c r="D24" s="100"/>
      <c r="E24" s="116">
        <f>$C$9</f>
        <v>46038</v>
      </c>
      <c r="F24" s="146">
        <v>0</v>
      </c>
      <c r="G24" s="83">
        <v>1956</v>
      </c>
      <c r="H24" s="84">
        <v>3254</v>
      </c>
      <c r="I24" s="84">
        <v>3784</v>
      </c>
      <c r="J24" s="84">
        <v>3074</v>
      </c>
      <c r="K24" s="84">
        <v>1932</v>
      </c>
      <c r="L24" s="146">
        <v>0</v>
      </c>
      <c r="M24" s="85">
        <f>SUM(F24:L24)</f>
        <v>14000</v>
      </c>
      <c r="N24" s="94">
        <v>0.8</v>
      </c>
      <c r="O24" s="97" t="s">
        <v>127</v>
      </c>
      <c r="P24" s="152" t="s">
        <v>139</v>
      </c>
      <c r="Q24" s="181" t="s">
        <v>114</v>
      </c>
      <c r="R24" s="182"/>
    </row>
    <row r="25" spans="1:18" ht="201" customHeight="1" thickBot="1">
      <c r="A25" s="121">
        <v>4501786086</v>
      </c>
      <c r="B25" s="122">
        <v>112375739</v>
      </c>
      <c r="C25" s="123" t="s">
        <v>112</v>
      </c>
      <c r="D25" s="124"/>
      <c r="E25" s="125">
        <f t="shared" ref="E25" si="5">$C$9</f>
        <v>46038</v>
      </c>
      <c r="F25" s="148">
        <v>0</v>
      </c>
      <c r="G25" s="126">
        <v>508</v>
      </c>
      <c r="H25" s="127">
        <v>845</v>
      </c>
      <c r="I25" s="127">
        <v>990</v>
      </c>
      <c r="J25" s="127">
        <v>796</v>
      </c>
      <c r="K25" s="127">
        <v>461</v>
      </c>
      <c r="L25" s="148">
        <v>0</v>
      </c>
      <c r="M25" s="128">
        <f t="shared" ref="M25" si="6">SUM(F25:L25)</f>
        <v>3600</v>
      </c>
      <c r="N25" s="96">
        <v>0.8</v>
      </c>
      <c r="O25" s="129" t="s">
        <v>127</v>
      </c>
      <c r="P25" s="153" t="s">
        <v>151</v>
      </c>
      <c r="Q25" s="185"/>
      <c r="R25" s="186"/>
    </row>
    <row r="26" spans="1:18" ht="40.5" customHeight="1" thickBot="1">
      <c r="A26" s="255" t="s">
        <v>31</v>
      </c>
      <c r="B26" s="256"/>
      <c r="C26" s="256"/>
      <c r="D26" s="256"/>
      <c r="E26" s="257"/>
      <c r="F26" s="150">
        <f>SUM(F24:F25)</f>
        <v>0</v>
      </c>
      <c r="G26" s="130">
        <f t="shared" ref="G26:M26" si="7">SUM(G24:G25)</f>
        <v>2464</v>
      </c>
      <c r="H26" s="130">
        <f t="shared" si="7"/>
        <v>4099</v>
      </c>
      <c r="I26" s="130">
        <f t="shared" si="7"/>
        <v>4774</v>
      </c>
      <c r="J26" s="130">
        <f t="shared" si="7"/>
        <v>3870</v>
      </c>
      <c r="K26" s="130">
        <f t="shared" si="7"/>
        <v>2393</v>
      </c>
      <c r="L26" s="150">
        <f t="shared" si="7"/>
        <v>0</v>
      </c>
      <c r="M26" s="131">
        <f t="shared" si="7"/>
        <v>17600</v>
      </c>
      <c r="N26" s="213" t="s">
        <v>152</v>
      </c>
      <c r="O26" s="214"/>
      <c r="P26" s="214"/>
      <c r="Q26" s="214"/>
      <c r="R26" s="215"/>
    </row>
    <row r="27" spans="1:18" ht="40.5" customHeight="1" thickBot="1">
      <c r="A27" s="189" t="s">
        <v>113</v>
      </c>
      <c r="B27" s="190"/>
      <c r="C27" s="190"/>
      <c r="D27" s="190"/>
      <c r="E27" s="191"/>
      <c r="F27" s="151">
        <f>F20+F26</f>
        <v>0</v>
      </c>
      <c r="G27" s="120">
        <f t="shared" ref="G27:M27" si="8">G20+G26</f>
        <v>6083</v>
      </c>
      <c r="H27" s="120">
        <f t="shared" si="8"/>
        <v>10000</v>
      </c>
      <c r="I27" s="120">
        <f t="shared" si="8"/>
        <v>11725</v>
      </c>
      <c r="J27" s="120">
        <f t="shared" si="8"/>
        <v>9457</v>
      </c>
      <c r="K27" s="120">
        <f t="shared" si="8"/>
        <v>5885</v>
      </c>
      <c r="L27" s="151">
        <f t="shared" si="8"/>
        <v>0</v>
      </c>
      <c r="M27" s="90">
        <f t="shared" si="8"/>
        <v>43150</v>
      </c>
      <c r="N27" s="192"/>
      <c r="O27" s="193"/>
      <c r="P27" s="193"/>
      <c r="Q27" s="193"/>
      <c r="R27" s="194"/>
    </row>
    <row r="28" spans="1:18" ht="26.5" customHeight="1" thickBot="1">
      <c r="A28" s="328" t="s">
        <v>68</v>
      </c>
      <c r="B28" s="329"/>
      <c r="C28" s="329"/>
      <c r="D28" s="329"/>
      <c r="E28" s="329"/>
      <c r="F28" s="329"/>
      <c r="G28" s="329"/>
      <c r="H28" s="329"/>
      <c r="I28" s="329"/>
      <c r="J28" s="329"/>
      <c r="K28" s="329"/>
      <c r="L28" s="329"/>
      <c r="M28" s="329"/>
      <c r="N28" s="329"/>
      <c r="O28" s="329"/>
      <c r="P28" s="329"/>
      <c r="Q28" s="329"/>
      <c r="R28" s="330"/>
    </row>
    <row r="29" spans="1:18" ht="21" customHeight="1">
      <c r="A29" s="323" t="s">
        <v>70</v>
      </c>
      <c r="B29" s="244" t="s">
        <v>71</v>
      </c>
      <c r="C29" s="245"/>
      <c r="D29" s="245"/>
      <c r="E29" s="245"/>
      <c r="F29" s="245"/>
      <c r="G29" s="245"/>
      <c r="H29" s="245"/>
      <c r="I29" s="245"/>
      <c r="J29" s="245"/>
      <c r="K29" s="245"/>
      <c r="L29" s="246"/>
      <c r="M29" s="23" t="s">
        <v>25</v>
      </c>
      <c r="N29" s="24" t="s">
        <v>26</v>
      </c>
      <c r="O29" s="24" t="s">
        <v>27</v>
      </c>
      <c r="P29" s="24" t="s">
        <v>28</v>
      </c>
      <c r="Q29" s="24" t="s">
        <v>29</v>
      </c>
      <c r="R29" s="64" t="s">
        <v>36</v>
      </c>
    </row>
    <row r="30" spans="1:18" ht="21.5" customHeight="1" thickBot="1">
      <c r="A30" s="324"/>
      <c r="B30" s="247"/>
      <c r="C30" s="248"/>
      <c r="D30" s="248"/>
      <c r="E30" s="248"/>
      <c r="F30" s="248"/>
      <c r="G30" s="248"/>
      <c r="H30" s="248"/>
      <c r="I30" s="248"/>
      <c r="J30" s="248"/>
      <c r="K30" s="248"/>
      <c r="L30" s="249"/>
      <c r="M30" s="241" t="str">
        <f t="shared" ref="M30" si="9">$C$5</f>
        <v>GN001KC</v>
      </c>
      <c r="N30" s="242"/>
      <c r="O30" s="242"/>
      <c r="P30" s="242"/>
      <c r="Q30" s="243"/>
      <c r="R30" s="65" t="s">
        <v>37</v>
      </c>
    </row>
    <row r="31" spans="1:18" ht="34.5" customHeight="1">
      <c r="A31" s="30" t="s">
        <v>38</v>
      </c>
      <c r="B31" s="31" t="s">
        <v>39</v>
      </c>
      <c r="C31" s="25"/>
      <c r="D31" s="25"/>
      <c r="E31" s="25"/>
      <c r="F31" s="28"/>
      <c r="G31" s="25"/>
      <c r="H31" s="25"/>
      <c r="I31" s="25"/>
      <c r="J31" s="25"/>
      <c r="K31" s="157"/>
      <c r="L31" s="154"/>
      <c r="M31" s="138">
        <v>40.5</v>
      </c>
      <c r="N31" s="138">
        <v>42.5</v>
      </c>
      <c r="O31" s="139">
        <v>46</v>
      </c>
      <c r="P31" s="138">
        <v>49.5</v>
      </c>
      <c r="Q31" s="138">
        <v>53.5</v>
      </c>
      <c r="R31" s="163" t="s">
        <v>145</v>
      </c>
    </row>
    <row r="32" spans="1:18" ht="34.5" customHeight="1">
      <c r="A32" s="32" t="s">
        <v>115</v>
      </c>
      <c r="B32" s="33" t="s">
        <v>116</v>
      </c>
      <c r="C32" s="26"/>
      <c r="D32" s="26"/>
      <c r="E32" s="26"/>
      <c r="F32" s="29"/>
      <c r="G32" s="26"/>
      <c r="H32" s="26"/>
      <c r="I32" s="26"/>
      <c r="J32" s="26"/>
      <c r="K32" s="158"/>
      <c r="L32" s="154"/>
      <c r="M32" s="138">
        <v>18.125</v>
      </c>
      <c r="N32" s="138">
        <v>18.5</v>
      </c>
      <c r="O32" s="139">
        <v>19</v>
      </c>
      <c r="P32" s="138">
        <v>19.625</v>
      </c>
      <c r="Q32" s="138">
        <v>20.25</v>
      </c>
      <c r="R32" s="164" t="s">
        <v>146</v>
      </c>
    </row>
    <row r="33" spans="1:18" ht="34.5" customHeight="1">
      <c r="A33" s="32" t="s">
        <v>117</v>
      </c>
      <c r="B33" s="33" t="s">
        <v>118</v>
      </c>
      <c r="C33" s="26"/>
      <c r="D33" s="26"/>
      <c r="E33" s="26"/>
      <c r="F33" s="29"/>
      <c r="G33" s="26"/>
      <c r="H33" s="26"/>
      <c r="I33" s="26"/>
      <c r="J33" s="26"/>
      <c r="K33" s="158"/>
      <c r="L33" s="154"/>
      <c r="M33" s="138">
        <v>40.25</v>
      </c>
      <c r="N33" s="138">
        <v>42.25</v>
      </c>
      <c r="O33" s="138">
        <v>45.75</v>
      </c>
      <c r="P33" s="138">
        <v>49.25</v>
      </c>
      <c r="Q33" s="138">
        <v>53.25</v>
      </c>
      <c r="R33" s="163" t="s">
        <v>145</v>
      </c>
    </row>
    <row r="34" spans="1:18" ht="34.5" customHeight="1">
      <c r="A34" s="32" t="s">
        <v>40</v>
      </c>
      <c r="B34" s="34" t="s">
        <v>41</v>
      </c>
      <c r="F34" s="20"/>
      <c r="K34" s="158"/>
      <c r="L34" s="154"/>
      <c r="M34" s="138">
        <v>39.75</v>
      </c>
      <c r="N34" s="138">
        <v>41.75</v>
      </c>
      <c r="O34" s="138">
        <v>45.25</v>
      </c>
      <c r="P34" s="138">
        <v>48.75</v>
      </c>
      <c r="Q34" s="138">
        <v>52.75</v>
      </c>
      <c r="R34" s="163" t="s">
        <v>145</v>
      </c>
    </row>
    <row r="35" spans="1:18" ht="34.5" customHeight="1">
      <c r="A35" s="32" t="s">
        <v>42</v>
      </c>
      <c r="B35" s="33" t="s">
        <v>43</v>
      </c>
      <c r="C35" s="26"/>
      <c r="D35" s="26"/>
      <c r="E35" s="26"/>
      <c r="F35" s="29"/>
      <c r="G35" s="26"/>
      <c r="H35" s="26"/>
      <c r="I35" s="26"/>
      <c r="J35" s="26"/>
      <c r="K35" s="158"/>
      <c r="L35" s="155"/>
      <c r="M35" s="138">
        <v>27.5</v>
      </c>
      <c r="N35" s="139">
        <v>28</v>
      </c>
      <c r="O35" s="138">
        <v>28.75</v>
      </c>
      <c r="P35" s="138">
        <v>29.5</v>
      </c>
      <c r="Q35" s="138">
        <v>30.25</v>
      </c>
      <c r="R35" s="165" t="s">
        <v>147</v>
      </c>
    </row>
    <row r="36" spans="1:18" ht="34.5" customHeight="1">
      <c r="A36" s="32" t="s">
        <v>44</v>
      </c>
      <c r="B36" s="34" t="s">
        <v>45</v>
      </c>
      <c r="F36" s="20"/>
      <c r="K36" s="158"/>
      <c r="L36" s="155"/>
      <c r="M36" s="138">
        <v>27.5</v>
      </c>
      <c r="N36" s="139">
        <v>28</v>
      </c>
      <c r="O36" s="138">
        <v>28.75</v>
      </c>
      <c r="P36" s="138">
        <v>29.5</v>
      </c>
      <c r="Q36" s="138">
        <v>30.25</v>
      </c>
      <c r="R36" s="165" t="s">
        <v>148</v>
      </c>
    </row>
    <row r="37" spans="1:18" ht="34.5" customHeight="1">
      <c r="A37" s="32" t="s">
        <v>46</v>
      </c>
      <c r="B37" s="33" t="s">
        <v>47</v>
      </c>
      <c r="C37" s="26"/>
      <c r="D37" s="26"/>
      <c r="E37" s="26"/>
      <c r="F37" s="29"/>
      <c r="G37" s="26"/>
      <c r="H37" s="26"/>
      <c r="I37" s="26"/>
      <c r="J37" s="26"/>
      <c r="K37" s="158"/>
      <c r="L37" s="154"/>
      <c r="M37" s="138">
        <v>17.875</v>
      </c>
      <c r="N37" s="138">
        <v>18.375</v>
      </c>
      <c r="O37" s="138">
        <v>19.25</v>
      </c>
      <c r="P37" s="138">
        <v>20.125</v>
      </c>
      <c r="Q37" s="138">
        <v>21.125</v>
      </c>
      <c r="R37" s="165" t="s">
        <v>149</v>
      </c>
    </row>
    <row r="38" spans="1:18" ht="34.5" customHeight="1">
      <c r="A38" s="32" t="s">
        <v>48</v>
      </c>
      <c r="B38" s="34" t="s">
        <v>49</v>
      </c>
      <c r="F38" s="20"/>
      <c r="K38" s="158"/>
      <c r="L38" s="154"/>
      <c r="M38" s="138">
        <v>8.625</v>
      </c>
      <c r="N38" s="139">
        <v>9</v>
      </c>
      <c r="O38" s="138">
        <v>9.375</v>
      </c>
      <c r="P38" s="138">
        <v>9.875</v>
      </c>
      <c r="Q38" s="138">
        <v>10.375</v>
      </c>
      <c r="R38" s="165" t="s">
        <v>148</v>
      </c>
    </row>
    <row r="39" spans="1:18" ht="34.5" customHeight="1">
      <c r="A39" s="32" t="s">
        <v>50</v>
      </c>
      <c r="B39" s="33" t="s">
        <v>51</v>
      </c>
      <c r="C39" s="26"/>
      <c r="D39" s="26"/>
      <c r="E39" s="26"/>
      <c r="F39" s="29"/>
      <c r="G39" s="26"/>
      <c r="H39" s="26"/>
      <c r="I39" s="26"/>
      <c r="J39" s="26"/>
      <c r="K39" s="158"/>
      <c r="L39" s="155"/>
      <c r="M39" s="138">
        <v>17.5</v>
      </c>
      <c r="N39" s="139">
        <v>18</v>
      </c>
      <c r="O39" s="138">
        <v>18.75</v>
      </c>
      <c r="P39" s="138">
        <v>19.5</v>
      </c>
      <c r="Q39" s="138">
        <v>20.375</v>
      </c>
      <c r="R39" s="165" t="s">
        <v>149</v>
      </c>
    </row>
    <row r="40" spans="1:18" ht="34.5" customHeight="1">
      <c r="A40" s="32" t="s">
        <v>119</v>
      </c>
      <c r="B40" s="34" t="s">
        <v>120</v>
      </c>
      <c r="F40" s="20"/>
      <c r="K40" s="158"/>
      <c r="L40" s="155"/>
      <c r="M40" s="138">
        <v>14.625</v>
      </c>
      <c r="N40" s="138">
        <v>15.25</v>
      </c>
      <c r="O40" s="138">
        <v>16.25</v>
      </c>
      <c r="P40" s="138">
        <v>17.25</v>
      </c>
      <c r="Q40" s="138">
        <v>18.375</v>
      </c>
      <c r="R40" s="165" t="s">
        <v>149</v>
      </c>
    </row>
    <row r="41" spans="1:18" ht="34.5" customHeight="1">
      <c r="A41" s="32" t="s">
        <v>52</v>
      </c>
      <c r="B41" s="33" t="s">
        <v>53</v>
      </c>
      <c r="C41" s="26"/>
      <c r="D41" s="26"/>
      <c r="E41" s="26"/>
      <c r="F41" s="29"/>
      <c r="G41" s="26"/>
      <c r="H41" s="26"/>
      <c r="I41" s="26"/>
      <c r="J41" s="26"/>
      <c r="K41" s="158"/>
      <c r="L41" s="154"/>
      <c r="M41" s="138">
        <v>13.125</v>
      </c>
      <c r="N41" s="138">
        <v>13.75</v>
      </c>
      <c r="O41" s="138">
        <v>14.75</v>
      </c>
      <c r="P41" s="138">
        <v>15.75</v>
      </c>
      <c r="Q41" s="138">
        <v>16.875</v>
      </c>
      <c r="R41" s="165" t="s">
        <v>149</v>
      </c>
    </row>
    <row r="42" spans="1:18" ht="34.5" customHeight="1">
      <c r="A42" s="32" t="s">
        <v>54</v>
      </c>
      <c r="B42" s="33" t="s">
        <v>55</v>
      </c>
      <c r="C42" s="26"/>
      <c r="D42" s="26"/>
      <c r="E42" s="26"/>
      <c r="F42" s="29"/>
      <c r="G42" s="26"/>
      <c r="H42" s="26"/>
      <c r="I42" s="26"/>
      <c r="J42" s="26"/>
      <c r="K42" s="158"/>
      <c r="L42" s="154"/>
      <c r="M42" s="139">
        <v>7</v>
      </c>
      <c r="N42" s="138">
        <v>7.125</v>
      </c>
      <c r="O42" s="138">
        <v>7.375</v>
      </c>
      <c r="P42" s="138">
        <v>7.625</v>
      </c>
      <c r="Q42" s="139">
        <v>8</v>
      </c>
      <c r="R42" s="165" t="s">
        <v>150</v>
      </c>
    </row>
    <row r="43" spans="1:18" ht="34.5" customHeight="1">
      <c r="A43" s="32" t="s">
        <v>56</v>
      </c>
      <c r="B43" s="34" t="s">
        <v>57</v>
      </c>
      <c r="F43" s="20"/>
      <c r="K43" s="158"/>
      <c r="L43" s="154"/>
      <c r="M43" s="138">
        <v>4.25</v>
      </c>
      <c r="N43" s="138">
        <v>4.375</v>
      </c>
      <c r="O43" s="140">
        <v>4.625</v>
      </c>
      <c r="P43" s="138">
        <v>4.875</v>
      </c>
      <c r="Q43" s="138">
        <v>5.25</v>
      </c>
      <c r="R43" s="165" t="s">
        <v>149</v>
      </c>
    </row>
    <row r="44" spans="1:18" ht="34.5" customHeight="1">
      <c r="A44" s="32" t="s">
        <v>58</v>
      </c>
      <c r="B44" s="33" t="s">
        <v>59</v>
      </c>
      <c r="C44" s="26"/>
      <c r="D44" s="26"/>
      <c r="E44" s="26"/>
      <c r="F44" s="29"/>
      <c r="G44" s="26"/>
      <c r="H44" s="26"/>
      <c r="I44" s="26"/>
      <c r="J44" s="26"/>
      <c r="K44" s="159"/>
      <c r="L44" s="156"/>
      <c r="M44" s="141" t="s">
        <v>121</v>
      </c>
      <c r="N44" s="141" t="s">
        <v>121</v>
      </c>
      <c r="O44" s="141" t="s">
        <v>121</v>
      </c>
      <c r="P44" s="141" t="s">
        <v>121</v>
      </c>
      <c r="Q44" s="141" t="s">
        <v>122</v>
      </c>
      <c r="R44" s="165" t="s">
        <v>150</v>
      </c>
    </row>
    <row r="45" spans="1:18" ht="34.5" customHeight="1">
      <c r="A45" s="32" t="s">
        <v>60</v>
      </c>
      <c r="B45" s="34" t="s">
        <v>61</v>
      </c>
      <c r="F45" s="20"/>
      <c r="K45" s="160"/>
      <c r="L45" s="155"/>
      <c r="M45" s="138">
        <v>6.25</v>
      </c>
      <c r="N45" s="138">
        <v>6.5</v>
      </c>
      <c r="O45" s="138">
        <v>6.75</v>
      </c>
      <c r="P45" s="139">
        <v>7</v>
      </c>
      <c r="Q45" s="138">
        <v>7.25</v>
      </c>
      <c r="R45" s="164" t="s">
        <v>146</v>
      </c>
    </row>
    <row r="46" spans="1:18" ht="34.5" customHeight="1">
      <c r="A46" s="32" t="s">
        <v>62</v>
      </c>
      <c r="B46" s="33" t="s">
        <v>63</v>
      </c>
      <c r="C46" s="26"/>
      <c r="D46" s="26"/>
      <c r="E46" s="26"/>
      <c r="F46" s="29"/>
      <c r="G46" s="26"/>
      <c r="H46" s="26"/>
      <c r="I46" s="26"/>
      <c r="J46" s="26"/>
      <c r="K46" s="158"/>
      <c r="L46" s="154"/>
      <c r="M46" s="139">
        <v>15</v>
      </c>
      <c r="N46" s="138">
        <v>15.625</v>
      </c>
      <c r="O46" s="138">
        <v>16.5</v>
      </c>
      <c r="P46" s="138">
        <v>17.375</v>
      </c>
      <c r="Q46" s="138">
        <v>18.375</v>
      </c>
      <c r="R46" s="165" t="s">
        <v>149</v>
      </c>
    </row>
    <row r="47" spans="1:18" ht="34.5" customHeight="1">
      <c r="A47" s="32" t="s">
        <v>64</v>
      </c>
      <c r="B47" s="33" t="s">
        <v>65</v>
      </c>
      <c r="C47" s="26"/>
      <c r="D47" s="26"/>
      <c r="E47" s="26"/>
      <c r="F47" s="29"/>
      <c r="G47" s="26"/>
      <c r="H47" s="26"/>
      <c r="I47" s="26"/>
      <c r="J47" s="26"/>
      <c r="K47" s="160"/>
      <c r="L47" s="155"/>
      <c r="M47" s="138">
        <v>6.25</v>
      </c>
      <c r="N47" s="138">
        <v>6.5</v>
      </c>
      <c r="O47" s="138">
        <v>6.75</v>
      </c>
      <c r="P47" s="139">
        <v>7</v>
      </c>
      <c r="Q47" s="138">
        <v>7.25</v>
      </c>
      <c r="R47" s="164" t="s">
        <v>146</v>
      </c>
    </row>
    <row r="48" spans="1:18" ht="34.5" customHeight="1" thickBot="1">
      <c r="A48" s="35" t="s">
        <v>66</v>
      </c>
      <c r="B48" s="36" t="s">
        <v>67</v>
      </c>
      <c r="C48" s="27"/>
      <c r="D48" s="27"/>
      <c r="E48" s="27"/>
      <c r="F48" s="21"/>
      <c r="G48" s="27"/>
      <c r="H48" s="27"/>
      <c r="I48" s="27"/>
      <c r="J48" s="27"/>
      <c r="K48" s="161"/>
      <c r="L48" s="154"/>
      <c r="M48" s="138">
        <v>15.375</v>
      </c>
      <c r="N48" s="139">
        <v>16</v>
      </c>
      <c r="O48" s="138">
        <v>16.875</v>
      </c>
      <c r="P48" s="138">
        <v>17.75</v>
      </c>
      <c r="Q48" s="138">
        <v>18.75</v>
      </c>
      <c r="R48" s="165" t="s">
        <v>149</v>
      </c>
    </row>
    <row r="49" spans="1:18" ht="34" customHeight="1" thickBot="1">
      <c r="A49" s="325" t="s">
        <v>77</v>
      </c>
      <c r="B49" s="326"/>
      <c r="C49" s="326"/>
      <c r="D49" s="326"/>
      <c r="E49" s="326"/>
      <c r="F49" s="326"/>
      <c r="G49" s="326"/>
      <c r="H49" s="326"/>
      <c r="I49" s="326"/>
      <c r="J49" s="326"/>
      <c r="K49" s="326"/>
      <c r="L49" s="326"/>
      <c r="M49" s="326"/>
      <c r="N49" s="326"/>
      <c r="O49" s="326"/>
      <c r="P49" s="326"/>
      <c r="Q49" s="326"/>
      <c r="R49" s="327"/>
    </row>
    <row r="50" spans="1:18" ht="36.5" thickBot="1">
      <c r="A50" s="210" t="s">
        <v>78</v>
      </c>
      <c r="B50" s="211"/>
      <c r="C50" s="211"/>
      <c r="D50" s="211"/>
      <c r="E50" s="211"/>
      <c r="F50" s="211"/>
      <c r="G50" s="211"/>
      <c r="H50" s="212"/>
      <c r="R50" s="37"/>
    </row>
    <row r="51" spans="1:18" ht="33.5">
      <c r="A51" s="38" t="s">
        <v>80</v>
      </c>
      <c r="B51" s="39"/>
      <c r="H51" s="37"/>
      <c r="M51" s="40"/>
      <c r="N51" s="40"/>
      <c r="R51" s="37"/>
    </row>
    <row r="52" spans="1:18" ht="33.5">
      <c r="A52" s="38" t="s">
        <v>81</v>
      </c>
      <c r="B52" s="41"/>
      <c r="H52" s="37"/>
      <c r="M52" s="40"/>
      <c r="N52" s="40"/>
      <c r="R52" s="37"/>
    </row>
    <row r="53" spans="1:18" ht="33.5">
      <c r="A53" s="42" t="s">
        <v>84</v>
      </c>
      <c r="B53" s="41"/>
      <c r="H53" s="37"/>
      <c r="M53" s="40"/>
      <c r="N53" s="40"/>
      <c r="R53" s="37"/>
    </row>
    <row r="54" spans="1:18" ht="33.5">
      <c r="A54" s="42" t="s">
        <v>82</v>
      </c>
      <c r="B54" s="41"/>
      <c r="H54" s="37"/>
      <c r="M54" s="40"/>
      <c r="N54" s="40"/>
      <c r="R54" s="37"/>
    </row>
    <row r="55" spans="1:18" ht="19" thickBot="1">
      <c r="A55" s="44"/>
      <c r="B55" s="46"/>
      <c r="C55" s="27"/>
      <c r="D55" s="27"/>
      <c r="E55" s="27"/>
      <c r="F55" s="27"/>
      <c r="G55" s="27"/>
      <c r="H55" s="45"/>
      <c r="R55" s="37"/>
    </row>
    <row r="56" spans="1:18" ht="36.5" thickBot="1">
      <c r="A56" s="210" t="s">
        <v>79</v>
      </c>
      <c r="B56" s="211"/>
      <c r="C56" s="211"/>
      <c r="D56" s="211"/>
      <c r="E56" s="211"/>
      <c r="F56" s="211"/>
      <c r="G56" s="211"/>
      <c r="H56" s="212"/>
      <c r="R56" s="37"/>
    </row>
    <row r="57" spans="1:18" ht="33.5">
      <c r="A57" s="38" t="s">
        <v>140</v>
      </c>
      <c r="H57" s="37"/>
      <c r="R57" s="37"/>
    </row>
    <row r="58" spans="1:18" ht="33.5">
      <c r="A58" s="38" t="s">
        <v>141</v>
      </c>
      <c r="H58" s="37"/>
      <c r="R58" s="37"/>
    </row>
    <row r="59" spans="1:18" ht="33.5">
      <c r="A59" s="38" t="s">
        <v>83</v>
      </c>
      <c r="H59" s="37"/>
      <c r="R59" s="37"/>
    </row>
    <row r="60" spans="1:18" ht="33.5">
      <c r="A60" s="38" t="s">
        <v>85</v>
      </c>
      <c r="H60" s="37"/>
      <c r="R60" s="37"/>
    </row>
    <row r="61" spans="1:18" ht="33.5">
      <c r="A61" s="42" t="s">
        <v>86</v>
      </c>
      <c r="H61" s="37"/>
      <c r="R61" s="37"/>
    </row>
    <row r="62" spans="1:18" ht="33.5">
      <c r="A62" s="42" t="s">
        <v>87</v>
      </c>
      <c r="H62" s="37"/>
      <c r="R62" s="37"/>
    </row>
    <row r="63" spans="1:18" ht="33.5">
      <c r="A63" s="42"/>
      <c r="H63" s="37"/>
      <c r="R63" s="37"/>
    </row>
    <row r="64" spans="1:18">
      <c r="A64" s="43"/>
      <c r="H64" s="37"/>
      <c r="R64" s="37"/>
    </row>
    <row r="65" spans="1:18">
      <c r="A65" s="43"/>
      <c r="H65" s="37"/>
      <c r="R65" s="37"/>
    </row>
    <row r="66" spans="1:18">
      <c r="A66" s="43"/>
      <c r="H66" s="37"/>
      <c r="R66" s="37"/>
    </row>
    <row r="67" spans="1:18">
      <c r="A67" s="43"/>
      <c r="H67" s="37"/>
      <c r="R67" s="37"/>
    </row>
    <row r="68" spans="1:18">
      <c r="A68" s="43"/>
      <c r="H68" s="37"/>
      <c r="R68" s="37"/>
    </row>
    <row r="69" spans="1:18">
      <c r="A69" s="43"/>
      <c r="H69" s="37"/>
      <c r="R69" s="37"/>
    </row>
    <row r="70" spans="1:18">
      <c r="A70" s="43"/>
      <c r="H70" s="37"/>
      <c r="R70" s="37"/>
    </row>
    <row r="71" spans="1:18">
      <c r="A71" s="43"/>
      <c r="H71" s="37"/>
      <c r="R71" s="37"/>
    </row>
    <row r="72" spans="1:18">
      <c r="A72" s="43"/>
      <c r="H72" s="37"/>
      <c r="R72" s="37"/>
    </row>
    <row r="73" spans="1:18">
      <c r="A73" s="43"/>
      <c r="H73" s="37"/>
      <c r="R73" s="37"/>
    </row>
    <row r="74" spans="1:18">
      <c r="A74" s="43"/>
      <c r="H74" s="37"/>
      <c r="R74" s="37"/>
    </row>
    <row r="75" spans="1:18">
      <c r="A75" s="43"/>
      <c r="H75" s="37"/>
      <c r="R75" s="37"/>
    </row>
    <row r="76" spans="1:18">
      <c r="A76" s="43"/>
      <c r="H76" s="37"/>
      <c r="R76" s="37"/>
    </row>
    <row r="77" spans="1:18">
      <c r="A77" s="43"/>
      <c r="H77" s="37"/>
      <c r="R77" s="37"/>
    </row>
    <row r="78" spans="1:18">
      <c r="A78" s="43"/>
      <c r="H78" s="37"/>
      <c r="R78" s="37"/>
    </row>
    <row r="79" spans="1:18">
      <c r="A79" s="43"/>
      <c r="H79" s="37"/>
      <c r="R79" s="37"/>
    </row>
    <row r="80" spans="1:18">
      <c r="A80" s="43"/>
      <c r="H80" s="37"/>
      <c r="R80" s="37"/>
    </row>
    <row r="81" spans="1:18">
      <c r="A81" s="43"/>
      <c r="H81" s="37"/>
      <c r="R81" s="37"/>
    </row>
    <row r="82" spans="1:18">
      <c r="A82" s="43"/>
      <c r="H82" s="37"/>
      <c r="R82" s="37"/>
    </row>
    <row r="83" spans="1:18">
      <c r="A83" s="43"/>
      <c r="H83" s="37"/>
      <c r="R83" s="37"/>
    </row>
    <row r="84" spans="1:18">
      <c r="A84" s="43"/>
      <c r="H84" s="37"/>
      <c r="R84" s="37"/>
    </row>
    <row r="85" spans="1:18">
      <c r="A85" s="43"/>
      <c r="H85" s="37"/>
      <c r="R85" s="37"/>
    </row>
    <row r="86" spans="1:18" ht="15" thickBot="1">
      <c r="A86" s="44"/>
      <c r="B86" s="27"/>
      <c r="C86" s="27"/>
      <c r="D86" s="27"/>
      <c r="E86" s="27"/>
      <c r="F86" s="27"/>
      <c r="G86" s="27"/>
      <c r="H86" s="45"/>
      <c r="I86" s="27"/>
      <c r="J86" s="27"/>
      <c r="K86" s="27"/>
      <c r="L86" s="27"/>
      <c r="M86" s="27"/>
      <c r="N86" s="27"/>
      <c r="O86" s="27"/>
      <c r="P86" s="27"/>
      <c r="Q86" s="27"/>
      <c r="R86" s="45"/>
    </row>
    <row r="87" spans="1:18" ht="15" thickBot="1"/>
    <row r="88" spans="1:18" s="4" customFormat="1" ht="40" customHeight="1" thickBot="1">
      <c r="A88" s="237" t="s">
        <v>92</v>
      </c>
      <c r="B88" s="238"/>
      <c r="C88" s="238"/>
      <c r="D88" s="238"/>
      <c r="E88" s="239"/>
      <c r="F88" s="239"/>
      <c r="G88" s="239"/>
      <c r="H88" s="239"/>
      <c r="I88" s="239"/>
      <c r="J88" s="239"/>
      <c r="K88" s="239"/>
      <c r="L88" s="239"/>
      <c r="M88" s="239"/>
      <c r="N88" s="239"/>
      <c r="O88" s="239"/>
      <c r="P88" s="239"/>
      <c r="Q88" s="239"/>
      <c r="R88" s="240"/>
    </row>
    <row r="89" spans="1:18" ht="25" customHeight="1">
      <c r="A89" s="228" t="s">
        <v>21</v>
      </c>
      <c r="B89" s="230" t="s">
        <v>6</v>
      </c>
      <c r="C89" s="232" t="s">
        <v>22</v>
      </c>
      <c r="D89" s="218" t="s">
        <v>23</v>
      </c>
      <c r="E89" s="218" t="s">
        <v>76</v>
      </c>
      <c r="F89" s="219"/>
      <c r="G89" s="220"/>
      <c r="H89" s="218" t="s">
        <v>22</v>
      </c>
      <c r="I89" s="218" t="s">
        <v>96</v>
      </c>
      <c r="J89" s="218" t="s">
        <v>95</v>
      </c>
      <c r="K89" s="219"/>
      <c r="L89" s="219"/>
      <c r="M89" s="220"/>
      <c r="N89" s="226" t="s">
        <v>97</v>
      </c>
      <c r="O89" s="224" t="s">
        <v>93</v>
      </c>
      <c r="P89" s="218" t="s">
        <v>94</v>
      </c>
      <c r="Q89" s="218" t="s">
        <v>99</v>
      </c>
      <c r="R89" s="216" t="s">
        <v>34</v>
      </c>
    </row>
    <row r="90" spans="1:18" ht="25" customHeight="1" thickBot="1">
      <c r="A90" s="229"/>
      <c r="B90" s="231"/>
      <c r="C90" s="233"/>
      <c r="D90" s="221"/>
      <c r="E90" s="221"/>
      <c r="F90" s="222"/>
      <c r="G90" s="223"/>
      <c r="H90" s="221"/>
      <c r="I90" s="221"/>
      <c r="J90" s="221"/>
      <c r="K90" s="222"/>
      <c r="L90" s="222"/>
      <c r="M90" s="223"/>
      <c r="N90" s="227"/>
      <c r="O90" s="225"/>
      <c r="P90" s="221"/>
      <c r="Q90" s="221"/>
      <c r="R90" s="217"/>
    </row>
    <row r="91" spans="1:18" ht="241.5" customHeight="1">
      <c r="A91" s="58">
        <f t="shared" ref="A91:D95" si="10">A13</f>
        <v>4501786081</v>
      </c>
      <c r="B91" s="59">
        <f t="shared" si="10"/>
        <v>112375727</v>
      </c>
      <c r="C91" s="56" t="str">
        <f t="shared" si="10"/>
        <v>TRENCHCOAT HEATHER
CVC (50/50) 30S'1</v>
      </c>
      <c r="D91" s="56">
        <f t="shared" si="10"/>
        <v>0</v>
      </c>
      <c r="E91" s="295"/>
      <c r="F91" s="296"/>
      <c r="G91" s="297"/>
      <c r="H91" s="105" t="s">
        <v>143</v>
      </c>
      <c r="I91" s="102"/>
      <c r="J91" s="331"/>
      <c r="K91" s="332"/>
      <c r="L91" s="332"/>
      <c r="M91" s="333"/>
      <c r="N91" s="142" t="s">
        <v>129</v>
      </c>
      <c r="O91" s="142" t="s">
        <v>129</v>
      </c>
      <c r="P91" s="142" t="s">
        <v>129</v>
      </c>
      <c r="Q91" s="115" t="s">
        <v>130</v>
      </c>
      <c r="R91" s="76"/>
    </row>
    <row r="92" spans="1:18" ht="241.5" customHeight="1">
      <c r="A92" s="58">
        <f t="shared" si="10"/>
        <v>4501786083</v>
      </c>
      <c r="B92" s="59">
        <f t="shared" si="10"/>
        <v>112375728</v>
      </c>
      <c r="C92" s="56" t="str">
        <f t="shared" si="10"/>
        <v>JET BLACK
CM30S'1 100% COTTON</v>
      </c>
      <c r="D92" s="56">
        <f t="shared" si="10"/>
        <v>0</v>
      </c>
      <c r="E92" s="301"/>
      <c r="F92" s="302"/>
      <c r="G92" s="303"/>
      <c r="H92" s="106" t="s">
        <v>131</v>
      </c>
      <c r="I92" s="103"/>
      <c r="J92" s="307"/>
      <c r="K92" s="308"/>
      <c r="L92" s="308"/>
      <c r="M92" s="309"/>
      <c r="N92" s="142" t="s">
        <v>129</v>
      </c>
      <c r="O92" s="142" t="s">
        <v>129</v>
      </c>
      <c r="P92" s="142" t="s">
        <v>129</v>
      </c>
      <c r="Q92" s="115" t="s">
        <v>130</v>
      </c>
      <c r="R92" s="69"/>
    </row>
    <row r="93" spans="1:18" ht="241.5" customHeight="1">
      <c r="A93" s="58">
        <f t="shared" si="10"/>
        <v>4501786084</v>
      </c>
      <c r="B93" s="59">
        <f t="shared" si="10"/>
        <v>112375735</v>
      </c>
      <c r="C93" s="56" t="str">
        <f t="shared" si="10"/>
        <v>EGRET
CM20S'1 100% COTTON</v>
      </c>
      <c r="D93" s="56">
        <f t="shared" si="10"/>
        <v>0</v>
      </c>
      <c r="E93" s="301"/>
      <c r="F93" s="302"/>
      <c r="G93" s="303"/>
      <c r="H93" s="106" t="s">
        <v>132</v>
      </c>
      <c r="I93" s="103"/>
      <c r="J93" s="307"/>
      <c r="K93" s="308"/>
      <c r="L93" s="308"/>
      <c r="M93" s="309"/>
      <c r="N93" s="142" t="s">
        <v>129</v>
      </c>
      <c r="O93" s="142" t="s">
        <v>129</v>
      </c>
      <c r="P93" s="142" t="s">
        <v>129</v>
      </c>
      <c r="Q93" s="115" t="s">
        <v>130</v>
      </c>
      <c r="R93" s="69"/>
    </row>
    <row r="94" spans="1:18" ht="241.5" customHeight="1">
      <c r="A94" s="58">
        <f t="shared" si="10"/>
        <v>4501786085</v>
      </c>
      <c r="B94" s="59">
        <f t="shared" si="10"/>
        <v>112375736</v>
      </c>
      <c r="C94" s="56" t="str">
        <f t="shared" si="10"/>
        <v>TRAVERTINE HEATHER
CVC (50/50) 30S'1</v>
      </c>
      <c r="D94" s="56">
        <f t="shared" si="10"/>
        <v>0</v>
      </c>
      <c r="E94" s="301"/>
      <c r="F94" s="302"/>
      <c r="G94" s="303"/>
      <c r="H94" s="162" t="s">
        <v>107</v>
      </c>
      <c r="I94" s="103"/>
      <c r="J94" s="307"/>
      <c r="K94" s="308"/>
      <c r="L94" s="308"/>
      <c r="M94" s="309"/>
      <c r="N94" s="142" t="s">
        <v>129</v>
      </c>
      <c r="O94" s="142" t="s">
        <v>129</v>
      </c>
      <c r="P94" s="142" t="s">
        <v>129</v>
      </c>
      <c r="Q94" s="115" t="s">
        <v>130</v>
      </c>
      <c r="R94" s="69"/>
    </row>
    <row r="95" spans="1:18" ht="241.5" customHeight="1">
      <c r="A95" s="58">
        <f t="shared" si="10"/>
        <v>4501786087</v>
      </c>
      <c r="B95" s="59">
        <f t="shared" si="10"/>
        <v>112375740</v>
      </c>
      <c r="C95" s="56" t="str">
        <f t="shared" si="10"/>
        <v>ANTIQUE WHITE
CM20S'1 100% COTTON</v>
      </c>
      <c r="D95" s="56">
        <f t="shared" si="10"/>
        <v>0</v>
      </c>
      <c r="E95" s="301"/>
      <c r="F95" s="302"/>
      <c r="G95" s="303"/>
      <c r="H95" s="106" t="s">
        <v>132</v>
      </c>
      <c r="I95" s="103"/>
      <c r="J95" s="307"/>
      <c r="K95" s="308"/>
      <c r="L95" s="308"/>
      <c r="M95" s="309"/>
      <c r="N95" s="142" t="s">
        <v>129</v>
      </c>
      <c r="O95" s="142" t="s">
        <v>129</v>
      </c>
      <c r="P95" s="142" t="s">
        <v>129</v>
      </c>
      <c r="Q95" s="115" t="s">
        <v>130</v>
      </c>
      <c r="R95" s="69"/>
    </row>
    <row r="96" spans="1:18" ht="241.5" customHeight="1">
      <c r="A96" s="58">
        <f>A18</f>
        <v>4501786093</v>
      </c>
      <c r="B96" s="59">
        <f>B17</f>
        <v>112375740</v>
      </c>
      <c r="C96" s="56" t="str">
        <f>C18</f>
        <v>ANTIQUE WHITE
CM20S'1 100% COTTON</v>
      </c>
      <c r="D96" s="56">
        <f>D17</f>
        <v>0</v>
      </c>
      <c r="E96" s="301"/>
      <c r="F96" s="302"/>
      <c r="G96" s="303"/>
      <c r="H96" s="106" t="s">
        <v>132</v>
      </c>
      <c r="I96" s="103"/>
      <c r="J96" s="307"/>
      <c r="K96" s="308"/>
      <c r="L96" s="308"/>
      <c r="M96" s="309"/>
      <c r="N96" s="142" t="s">
        <v>129</v>
      </c>
      <c r="O96" s="142" t="s">
        <v>129</v>
      </c>
      <c r="P96" s="142" t="s">
        <v>129</v>
      </c>
      <c r="Q96" s="115" t="s">
        <v>130</v>
      </c>
      <c r="R96" s="69"/>
    </row>
    <row r="97" spans="1:18" ht="241.5" customHeight="1">
      <c r="A97" s="58">
        <f>A19</f>
        <v>4501786090</v>
      </c>
      <c r="B97" s="59">
        <f>B18</f>
        <v>112375805</v>
      </c>
      <c r="C97" s="56" t="str">
        <f>C19</f>
        <v>JET BLACK
CM30S'1 100% COTTON</v>
      </c>
      <c r="D97" s="56">
        <f>D18</f>
        <v>0</v>
      </c>
      <c r="E97" s="301"/>
      <c r="F97" s="302"/>
      <c r="G97" s="303"/>
      <c r="H97" s="106" t="s">
        <v>131</v>
      </c>
      <c r="I97" s="103"/>
      <c r="J97" s="307"/>
      <c r="K97" s="308"/>
      <c r="L97" s="308"/>
      <c r="M97" s="309"/>
      <c r="N97" s="142" t="s">
        <v>129</v>
      </c>
      <c r="O97" s="142" t="s">
        <v>129</v>
      </c>
      <c r="P97" s="142" t="s">
        <v>129</v>
      </c>
      <c r="Q97" s="115" t="s">
        <v>130</v>
      </c>
      <c r="R97" s="69"/>
    </row>
    <row r="98" spans="1:18" ht="241.5" customHeight="1">
      <c r="A98" s="58">
        <f t="shared" ref="A98:C99" si="11">A24</f>
        <v>4501786080</v>
      </c>
      <c r="B98" s="59">
        <f t="shared" si="11"/>
        <v>112375726</v>
      </c>
      <c r="C98" s="56" t="str">
        <f t="shared" si="11"/>
        <v>JET BLACK
CM30S'1 100% COTTON</v>
      </c>
      <c r="D98" s="56">
        <f>D19</f>
        <v>0</v>
      </c>
      <c r="E98" s="301"/>
      <c r="F98" s="302"/>
      <c r="G98" s="303"/>
      <c r="H98" s="106" t="s">
        <v>131</v>
      </c>
      <c r="I98" s="103"/>
      <c r="J98" s="307"/>
      <c r="K98" s="308"/>
      <c r="L98" s="308"/>
      <c r="M98" s="309"/>
      <c r="N98" s="142" t="s">
        <v>129</v>
      </c>
      <c r="O98" s="142" t="s">
        <v>129</v>
      </c>
      <c r="P98" s="142" t="s">
        <v>129</v>
      </c>
      <c r="Q98" s="115" t="s">
        <v>130</v>
      </c>
      <c r="R98" s="69"/>
    </row>
    <row r="99" spans="1:18" ht="241.5" customHeight="1" thickBot="1">
      <c r="A99" s="58">
        <f t="shared" si="11"/>
        <v>4501786086</v>
      </c>
      <c r="B99" s="59">
        <f t="shared" si="11"/>
        <v>112375739</v>
      </c>
      <c r="C99" s="56" t="str">
        <f t="shared" si="11"/>
        <v>OIL BLUE
CM30S'1 100% COTTON</v>
      </c>
      <c r="D99" s="56">
        <f>D20</f>
        <v>0</v>
      </c>
      <c r="E99" s="313"/>
      <c r="F99" s="314"/>
      <c r="G99" s="315"/>
      <c r="H99" s="162" t="s">
        <v>107</v>
      </c>
      <c r="I99" s="104"/>
      <c r="J99" s="310"/>
      <c r="K99" s="311"/>
      <c r="L99" s="311"/>
      <c r="M99" s="312"/>
      <c r="N99" s="142" t="s">
        <v>129</v>
      </c>
      <c r="O99" s="142" t="s">
        <v>129</v>
      </c>
      <c r="P99" s="142" t="s">
        <v>129</v>
      </c>
      <c r="Q99" s="115" t="s">
        <v>130</v>
      </c>
      <c r="R99" s="73"/>
    </row>
    <row r="100" spans="1:18" ht="241.5" customHeight="1">
      <c r="A100" s="58"/>
      <c r="B100" s="59"/>
      <c r="C100" s="56"/>
      <c r="D100" s="57"/>
      <c r="E100" s="295"/>
      <c r="F100" s="296"/>
      <c r="G100" s="297"/>
      <c r="H100" s="75"/>
      <c r="I100" s="75"/>
      <c r="J100" s="110"/>
      <c r="K100" s="298"/>
      <c r="L100" s="299"/>
      <c r="M100" s="300"/>
      <c r="N100" s="75"/>
      <c r="O100" s="74"/>
      <c r="P100" s="74"/>
      <c r="Q100" s="91"/>
      <c r="R100" s="76"/>
    </row>
    <row r="101" spans="1:18" ht="241.5" customHeight="1">
      <c r="A101" s="58"/>
      <c r="B101" s="59"/>
      <c r="C101" s="56"/>
      <c r="D101" s="18"/>
      <c r="E101" s="301"/>
      <c r="F101" s="302"/>
      <c r="G101" s="303"/>
      <c r="H101" s="68"/>
      <c r="I101" s="68"/>
      <c r="J101" s="107"/>
      <c r="K101" s="304"/>
      <c r="L101" s="305"/>
      <c r="M101" s="306"/>
      <c r="N101" s="68"/>
      <c r="O101" s="67"/>
      <c r="P101" s="67"/>
      <c r="Q101" s="92"/>
      <c r="R101" s="69"/>
    </row>
    <row r="102" spans="1:18" ht="241.5" customHeight="1">
      <c r="A102" s="58"/>
      <c r="B102" s="59"/>
      <c r="C102" s="56"/>
      <c r="D102" s="18"/>
      <c r="E102" s="301"/>
      <c r="F102" s="302"/>
      <c r="G102" s="303"/>
      <c r="H102" s="68"/>
      <c r="I102" s="68"/>
      <c r="J102" s="107"/>
      <c r="K102" s="304"/>
      <c r="L102" s="305"/>
      <c r="M102" s="306"/>
      <c r="N102" s="68"/>
      <c r="O102" s="67"/>
      <c r="P102" s="67"/>
      <c r="Q102" s="92"/>
      <c r="R102" s="69"/>
    </row>
    <row r="103" spans="1:18" ht="241.5" customHeight="1">
      <c r="A103" s="58"/>
      <c r="B103" s="59"/>
      <c r="C103" s="56"/>
      <c r="D103" s="18"/>
      <c r="E103" s="301"/>
      <c r="F103" s="302"/>
      <c r="G103" s="303"/>
      <c r="H103" s="68"/>
      <c r="I103" s="68"/>
      <c r="J103" s="107"/>
      <c r="K103" s="304"/>
      <c r="L103" s="305"/>
      <c r="M103" s="306"/>
      <c r="N103" s="68"/>
      <c r="O103" s="67"/>
      <c r="P103" s="67"/>
      <c r="Q103" s="92"/>
      <c r="R103" s="69"/>
    </row>
    <row r="104" spans="1:18" ht="241.5" customHeight="1" thickBot="1">
      <c r="A104" s="82"/>
      <c r="B104" s="63"/>
      <c r="C104" s="62"/>
      <c r="D104" s="70"/>
      <c r="E104" s="316"/>
      <c r="F104" s="317"/>
      <c r="G104" s="318"/>
      <c r="H104" s="72"/>
      <c r="I104" s="72"/>
      <c r="J104" s="108"/>
      <c r="K104" s="319"/>
      <c r="L104" s="320"/>
      <c r="M104" s="321"/>
      <c r="N104" s="72"/>
      <c r="O104" s="71"/>
      <c r="P104" s="71"/>
      <c r="Q104" s="93"/>
      <c r="R104" s="73"/>
    </row>
    <row r="105" spans="1:18" ht="241.5" customHeight="1">
      <c r="A105" s="58"/>
      <c r="B105" s="59"/>
      <c r="C105" s="56"/>
      <c r="D105" s="57"/>
      <c r="E105" s="295"/>
      <c r="F105" s="296"/>
      <c r="G105" s="297"/>
      <c r="H105" s="75"/>
      <c r="I105" s="75"/>
      <c r="J105" s="110"/>
      <c r="K105" s="298"/>
      <c r="L105" s="299"/>
      <c r="M105" s="300"/>
      <c r="N105" s="75"/>
      <c r="O105" s="74"/>
      <c r="P105" s="74"/>
      <c r="Q105" s="91"/>
      <c r="R105" s="76"/>
    </row>
    <row r="106" spans="1:18" ht="241.5" customHeight="1">
      <c r="A106" s="58"/>
      <c r="B106" s="59"/>
      <c r="C106" s="56"/>
      <c r="D106" s="18"/>
      <c r="E106" s="301"/>
      <c r="F106" s="302"/>
      <c r="G106" s="303"/>
      <c r="H106" s="68"/>
      <c r="I106" s="68"/>
      <c r="J106" s="107"/>
      <c r="K106" s="304"/>
      <c r="L106" s="305"/>
      <c r="M106" s="306"/>
      <c r="N106" s="68"/>
      <c r="O106" s="67"/>
      <c r="P106" s="67"/>
      <c r="Q106" s="92"/>
      <c r="R106" s="69"/>
    </row>
    <row r="107" spans="1:18" ht="241.5" customHeight="1">
      <c r="A107" s="58"/>
      <c r="B107" s="59"/>
      <c r="C107" s="56"/>
      <c r="D107" s="18"/>
      <c r="E107" s="301"/>
      <c r="F107" s="302"/>
      <c r="G107" s="303"/>
      <c r="H107" s="68"/>
      <c r="I107" s="68"/>
      <c r="J107" s="107"/>
      <c r="K107" s="304"/>
      <c r="L107" s="305"/>
      <c r="M107" s="306"/>
      <c r="N107" s="68"/>
      <c r="O107" s="67"/>
      <c r="P107" s="67"/>
      <c r="Q107" s="92"/>
      <c r="R107" s="69"/>
    </row>
    <row r="108" spans="1:18" ht="241.5" customHeight="1">
      <c r="A108" s="58"/>
      <c r="B108" s="59"/>
      <c r="C108" s="56"/>
      <c r="D108" s="18"/>
      <c r="E108" s="301"/>
      <c r="F108" s="302"/>
      <c r="G108" s="303"/>
      <c r="H108" s="68"/>
      <c r="I108" s="68"/>
      <c r="J108" s="107"/>
      <c r="K108" s="304"/>
      <c r="L108" s="305"/>
      <c r="M108" s="306"/>
      <c r="N108" s="68"/>
      <c r="O108" s="67"/>
      <c r="P108" s="67"/>
      <c r="Q108" s="92"/>
      <c r="R108" s="69"/>
    </row>
    <row r="109" spans="1:18" ht="241.5" customHeight="1" thickBot="1">
      <c r="A109" s="82"/>
      <c r="B109" s="63"/>
      <c r="C109" s="62"/>
      <c r="D109" s="70"/>
      <c r="E109" s="316"/>
      <c r="F109" s="317"/>
      <c r="G109" s="318"/>
      <c r="H109" s="72"/>
      <c r="I109" s="72"/>
      <c r="J109" s="108"/>
      <c r="K109" s="319"/>
      <c r="L109" s="320"/>
      <c r="M109" s="321"/>
      <c r="N109" s="72"/>
      <c r="O109" s="71"/>
      <c r="P109" s="71"/>
      <c r="Q109" s="93"/>
      <c r="R109" s="73"/>
    </row>
  </sheetData>
  <mergeCells count="109">
    <mergeCell ref="P22:P23"/>
    <mergeCell ref="A29:A30"/>
    <mergeCell ref="J95:M95"/>
    <mergeCell ref="E95:G95"/>
    <mergeCell ref="H89:H90"/>
    <mergeCell ref="I89:I90"/>
    <mergeCell ref="A49:R49"/>
    <mergeCell ref="A28:R28"/>
    <mergeCell ref="E94:G94"/>
    <mergeCell ref="J94:M94"/>
    <mergeCell ref="J93:M93"/>
    <mergeCell ref="J92:M92"/>
    <mergeCell ref="J91:M91"/>
    <mergeCell ref="E93:G93"/>
    <mergeCell ref="E91:G91"/>
    <mergeCell ref="E92:G92"/>
    <mergeCell ref="E102:G102"/>
    <mergeCell ref="K102:M102"/>
    <mergeCell ref="E109:G109"/>
    <mergeCell ref="K109:M109"/>
    <mergeCell ref="E106:G106"/>
    <mergeCell ref="K106:M106"/>
    <mergeCell ref="E107:G107"/>
    <mergeCell ref="K107:M107"/>
    <mergeCell ref="E108:G108"/>
    <mergeCell ref="K108:M108"/>
    <mergeCell ref="E103:G103"/>
    <mergeCell ref="K103:M103"/>
    <mergeCell ref="E104:G104"/>
    <mergeCell ref="K104:M104"/>
    <mergeCell ref="E105:G105"/>
    <mergeCell ref="K105:M105"/>
    <mergeCell ref="E100:G100"/>
    <mergeCell ref="K100:M100"/>
    <mergeCell ref="E101:G101"/>
    <mergeCell ref="K101:M101"/>
    <mergeCell ref="E97:G97"/>
    <mergeCell ref="E96:G96"/>
    <mergeCell ref="E98:G98"/>
    <mergeCell ref="J98:M98"/>
    <mergeCell ref="J97:M97"/>
    <mergeCell ref="J96:M96"/>
    <mergeCell ref="J99:M99"/>
    <mergeCell ref="E99:G99"/>
    <mergeCell ref="A1:R1"/>
    <mergeCell ref="D3:H3"/>
    <mergeCell ref="E4:H4"/>
    <mergeCell ref="A26:E26"/>
    <mergeCell ref="M11:M12"/>
    <mergeCell ref="A11:A12"/>
    <mergeCell ref="B11:B12"/>
    <mergeCell ref="C11:C12"/>
    <mergeCell ref="D11:D12"/>
    <mergeCell ref="E11:E12"/>
    <mergeCell ref="I6:M6"/>
    <mergeCell ref="Q10:R10"/>
    <mergeCell ref="A10:P10"/>
    <mergeCell ref="E7:H7"/>
    <mergeCell ref="O3:O6"/>
    <mergeCell ref="E8:H8"/>
    <mergeCell ref="I8:R9"/>
    <mergeCell ref="E9:H9"/>
    <mergeCell ref="P4:P6"/>
    <mergeCell ref="J5:N5"/>
    <mergeCell ref="J4:N4"/>
    <mergeCell ref="Q4:Q6"/>
    <mergeCell ref="A3:A9"/>
    <mergeCell ref="A20:E20"/>
    <mergeCell ref="A56:H56"/>
    <mergeCell ref="A50:H50"/>
    <mergeCell ref="N26:R26"/>
    <mergeCell ref="R89:R90"/>
    <mergeCell ref="E89:G90"/>
    <mergeCell ref="O89:O90"/>
    <mergeCell ref="P89:P90"/>
    <mergeCell ref="Q89:Q90"/>
    <mergeCell ref="N89:N90"/>
    <mergeCell ref="A89:A90"/>
    <mergeCell ref="B89:B90"/>
    <mergeCell ref="C89:C90"/>
    <mergeCell ref="D89:D90"/>
    <mergeCell ref="J89:M90"/>
    <mergeCell ref="A88:R88"/>
    <mergeCell ref="M30:Q30"/>
    <mergeCell ref="B29:L30"/>
    <mergeCell ref="R4:R6"/>
    <mergeCell ref="E5:H5"/>
    <mergeCell ref="E6:H6"/>
    <mergeCell ref="I3:N3"/>
    <mergeCell ref="P11:P12"/>
    <mergeCell ref="F11:L11"/>
    <mergeCell ref="Q13:R19"/>
    <mergeCell ref="O11:O12"/>
    <mergeCell ref="A27:E27"/>
    <mergeCell ref="N27:R27"/>
    <mergeCell ref="Q24:R25"/>
    <mergeCell ref="A21:P21"/>
    <mergeCell ref="Q21:R21"/>
    <mergeCell ref="A22:A23"/>
    <mergeCell ref="B22:B23"/>
    <mergeCell ref="C22:C23"/>
    <mergeCell ref="D22:D23"/>
    <mergeCell ref="E22:E23"/>
    <mergeCell ref="F22:L22"/>
    <mergeCell ref="M22:M23"/>
    <mergeCell ref="N22:N23"/>
    <mergeCell ref="N11:N12"/>
    <mergeCell ref="N20:R20"/>
    <mergeCell ref="O22:O23"/>
  </mergeCells>
  <pageMargins left="0" right="0" top="0" bottom="0" header="0" footer="0"/>
  <pageSetup scale="28" fitToHeight="0" orientation="portrait" r:id="rId1"/>
  <rowBreaks count="1" manualBreakCount="1">
    <brk id="27" max="1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Lucciano Park - Apparel Links</dc:creator>
  <cp:lastModifiedBy>Lucciano Park - Apparel Links</cp:lastModifiedBy>
  <cp:lastPrinted>2025-11-05T16:48:52Z</cp:lastPrinted>
  <dcterms:created xsi:type="dcterms:W3CDTF">2025-03-21T19:44:26Z</dcterms:created>
  <dcterms:modified xsi:type="dcterms:W3CDTF">2025-11-05T16:52:01Z</dcterms:modified>
</cp:coreProperties>
</file>